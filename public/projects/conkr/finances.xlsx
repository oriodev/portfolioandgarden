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Growth" sheetId="1" r:id="rId4"/>
    <sheet state="visible" name="Assumptions" sheetId="2" r:id="rId5"/>
    <sheet state="visible" name="Summary" sheetId="3" r:id="rId6"/>
    <sheet state="visible" name="P&amp;L" sheetId="4" r:id="rId7"/>
    <sheet state="visible" name="Cashflow" sheetId="5" r:id="rId8"/>
    <sheet state="visible" name="Bal Sht" sheetId="6" r:id="rId9"/>
  </sheets>
  <definedNames/>
  <calcPr/>
  <extLst>
    <ext uri="GoogleSheetsCustomDataVersion2">
      <go:sheetsCustomData xmlns:go="http://customooxmlschemas.google.com/" r:id="rId10" roundtripDataChecksum="lXF4VGczpM8ZblTDg9TCxorce1NiDHnvJUzAfQ+1KYU="/>
    </ext>
  </extLst>
</workbook>
</file>

<file path=xl/sharedStrings.xml><?xml version="1.0" encoding="utf-8"?>
<sst xmlns="http://schemas.openxmlformats.org/spreadsheetml/2006/main" count="433" uniqueCount="154">
  <si>
    <t>months</t>
  </si>
  <si>
    <t>users</t>
  </si>
  <si>
    <t>input data.</t>
  </si>
  <si>
    <t>Initial Users</t>
  </si>
  <si>
    <t>Upper Limit</t>
  </si>
  <si>
    <t>Growth Rate</t>
  </si>
  <si>
    <t>Dev Months</t>
  </si>
  <si>
    <t>upper limit.</t>
  </si>
  <si>
    <t>total serviceable market</t>
  </si>
  <si>
    <t>18-30 in uk</t>
  </si>
  <si>
    <t>total target market</t>
  </si>
  <si>
    <t>scared of gym</t>
  </si>
  <si>
    <t>2% of target market</t>
  </si>
  <si>
    <t>reasonable</t>
  </si>
  <si>
    <t>valuation.</t>
  </si>
  <si>
    <t>ebitda (3rd yr profit)</t>
  </si>
  <si>
    <t>valuation ^^</t>
  </si>
  <si>
    <t>offer (3rd yr profit)</t>
  </si>
  <si>
    <t>ebitda ( month x 12)</t>
  </si>
  <si>
    <t>offer ( month x 12)</t>
  </si>
  <si>
    <t>multiplication</t>
  </si>
  <si>
    <t>ask</t>
  </si>
  <si>
    <t>third year return</t>
  </si>
  <si>
    <t>growth rates.</t>
  </si>
  <si>
    <t>metric.</t>
  </si>
  <si>
    <t>start.</t>
  </si>
  <si>
    <t>end.</t>
  </si>
  <si>
    <t>growth.</t>
  </si>
  <si>
    <t>instagram followers</t>
  </si>
  <si>
    <t>instagram profile views</t>
  </si>
  <si>
    <t>website visits</t>
  </si>
  <si>
    <t>interested page hits</t>
  </si>
  <si>
    <t>average growth rate</t>
  </si>
  <si>
    <t>-</t>
  </si>
  <si>
    <t>conversion rates.</t>
  </si>
  <si>
    <t>conversion.</t>
  </si>
  <si>
    <t>visits to interested</t>
  </si>
  <si>
    <t>95 + 41</t>
  </si>
  <si>
    <t>Company</t>
  </si>
  <si>
    <t>CONKR.</t>
  </si>
  <si>
    <t>KEY Assumptions</t>
  </si>
  <si>
    <t>Average Income Per User/Unit Per Month</t>
  </si>
  <si>
    <t>Number of users Per Month</t>
  </si>
  <si>
    <t>Year 1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</si>
  <si>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</si>
  <si>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</si>
  <si>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</si>
  <si>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</si>
  <si>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</si>
  <si>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</si>
  <si>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</si>
  <si>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</si>
  <si>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</si>
  <si>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</si>
  <si>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</si>
  <si>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</si>
  <si>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through initial stages of beta testing, we start with x number of users</t>
  </si>
  <si>
    <t>Number of users / Units</t>
  </si>
  <si>
    <t>Year 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</si>
  <si>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</si>
  <si>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</si>
  <si>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</si>
  <si>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</si>
  <si>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</si>
  <si>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</si>
  <si>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</si>
  <si>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</si>
  <si>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</si>
  <si>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</si>
  <si>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</si>
  <si>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</si>
  <si>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Number of users</t>
  </si>
  <si>
    <t>Year 3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</si>
  <si>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</si>
  <si>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</si>
  <si>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</si>
  <si>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</si>
  <si>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</si>
  <si>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</si>
  <si>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</si>
  <si>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</si>
  <si>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</si>
  <si>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</si>
  <si>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</si>
  <si>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</si>
  <si>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Cost of Sales</t>
  </si>
  <si>
    <t>Yr1</t>
  </si>
  <si>
    <t>Yr2</t>
  </si>
  <si>
    <t>Yr3</t>
  </si>
  <si>
    <t>% of user sales</t>
  </si>
  <si>
    <t>Expenses</t>
  </si>
  <si>
    <t>CEO</t>
  </si>
  <si>
    <t>Administration</t>
  </si>
  <si>
    <t>Other Staff Costs</t>
  </si>
  <si>
    <t>Motor &amp; travel expenses</t>
  </si>
  <si>
    <t>Materials/Resources</t>
  </si>
  <si>
    <t>Marketing</t>
  </si>
  <si>
    <t>Insurance</t>
  </si>
  <si>
    <t>Computer &amp; IT costs</t>
  </si>
  <si>
    <t>Office Rent &amp; services</t>
  </si>
  <si>
    <t>Telephone</t>
  </si>
  <si>
    <t>Investment Received</t>
  </si>
  <si>
    <t>Founder</t>
  </si>
  <si>
    <t>Investment</t>
  </si>
  <si>
    <t>Fund raising costs</t>
  </si>
  <si>
    <t>Development Expenditure</t>
  </si>
  <si>
    <t>Yr 1</t>
  </si>
  <si>
    <t>Yr 2</t>
  </si>
  <si>
    <t>Yr 3</t>
  </si>
  <si>
    <t>Contingency P.a.</t>
  </si>
  <si>
    <t>Capital Expenditure</t>
  </si>
  <si>
    <t>Month</t>
  </si>
  <si>
    <t>Cumulative</t>
  </si>
  <si>
    <t>£</t>
  </si>
  <si>
    <t>Turnover</t>
  </si>
  <si>
    <t>Gross Profit</t>
  </si>
  <si>
    <t>Overheads</t>
  </si>
  <si>
    <t xml:space="preserve">Financial summary </t>
  </si>
  <si>
    <t>Cash Flow</t>
  </si>
  <si>
    <t>Expenditure</t>
  </si>
  <si>
    <t xml:space="preserve">Min cash balance </t>
  </si>
  <si>
    <t>Balance Sheet</t>
  </si>
  <si>
    <t>Fixed Assets</t>
  </si>
  <si>
    <t>Corporation tax</t>
  </si>
  <si>
    <t>Profit and Loss forecast</t>
  </si>
  <si>
    <t>Total</t>
  </si>
  <si>
    <t>Income</t>
  </si>
  <si>
    <t>User income</t>
  </si>
  <si>
    <t>Direct Selling costs</t>
  </si>
  <si>
    <t>Contingency</t>
  </si>
  <si>
    <t>Depreciation</t>
  </si>
  <si>
    <t>Profit (loss) before tax</t>
  </si>
  <si>
    <t>Tax</t>
  </si>
  <si>
    <t>Retained profit</t>
  </si>
  <si>
    <t>Cashlow forecast</t>
  </si>
  <si>
    <t>TOTAL</t>
  </si>
  <si>
    <t>VAT Recovered</t>
  </si>
  <si>
    <t>Captal expenditure</t>
  </si>
  <si>
    <t>PAYE</t>
  </si>
  <si>
    <t>VAT Paid</t>
  </si>
  <si>
    <t>C Tax</t>
  </si>
  <si>
    <t xml:space="preserve">Opening Balance </t>
  </si>
  <si>
    <t>Cash Inflow/Outflow</t>
  </si>
  <si>
    <t>Closing Balance</t>
  </si>
  <si>
    <t>Balance Sheet forecast</t>
  </si>
  <si>
    <t>Bank Balance</t>
  </si>
  <si>
    <t>VAT (payable) / recoverable</t>
  </si>
  <si>
    <t>PAYE and NI</t>
  </si>
  <si>
    <t>Net Assets</t>
  </si>
  <si>
    <t>Share capital</t>
  </si>
  <si>
    <t>Profit and loss account brought forward</t>
  </si>
  <si>
    <t>Profit and loss account for the Year</t>
  </si>
  <si>
    <t>Shareholders funds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</si>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</sst>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£-809]#,##0"/>
    <numFmt numFmtId="165" formatCode="[$£-809]#,##0.00"/>
    <numFmt numFmtId="166" formatCode="_-* #,##0.00_-;\-* #,##0.00_-;_-* &quot;-&quot;??_-;_-@"/>
    <numFmt numFmtId="167" formatCode="_-* #,##0_-;\-* #,##0_-;_-* &quot;-&quot;??_-;_-@"/>
    <numFmt numFmtId="168" formatCode="#,##0;\(#,##0\)"/>
    <numFmt numFmtId="169" formatCode="#,##0\ ;\(#,##0\)"/>
  </numFmts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F8F8F2"/>
      <name val="Consolas"/>
    </font>
    <font>
      <b/>
      <sz val="11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u/>
      <sz val="11.0"/>
      <color theme="1"/>
      <name val="Calibri"/>
    </font>
    <font>
      <sz val="11.0"/>
      <color rgb="FFD8D8D8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i/>
      <sz val="8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EEECE1"/>
        <bgColor rgb="FFEEECE1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</fills>
  <borders count="2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readingOrder="0"/>
    </xf>
    <xf borderId="4" fillId="0" fontId="3" numFmtId="4" xfId="0" applyAlignment="1" applyBorder="1" applyFont="1" applyNumberFormat="1">
      <alignment horizontal="left"/>
    </xf>
    <xf borderId="4" fillId="0" fontId="2" numFmtId="4" xfId="0" applyBorder="1" applyFont="1" applyNumberFormat="1"/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4" fontId="2" numFmtId="4" xfId="0" applyFill="1" applyFont="1" applyNumberFormat="1"/>
    <xf borderId="0" fillId="0" fontId="2" numFmtId="164" xfId="0" applyFont="1" applyNumberFormat="1"/>
    <xf borderId="5" fillId="0" fontId="2" numFmtId="0" xfId="0" applyAlignment="1" applyBorder="1" applyFont="1">
      <alignment readingOrder="0"/>
    </xf>
    <xf borderId="6" fillId="0" fontId="2" numFmtId="4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5" fontId="1" numFmtId="0" xfId="0" applyAlignment="1" applyFill="1" applyFont="1">
      <alignment horizontal="center" readingOrder="0"/>
    </xf>
    <xf borderId="0" fillId="4" fontId="2" numFmtId="10" xfId="0" applyFont="1" applyNumberFormat="1"/>
    <xf borderId="0" fillId="0" fontId="2" numFmtId="0" xfId="0" applyFont="1"/>
    <xf borderId="7" fillId="0" fontId="4" numFmtId="0" xfId="0" applyBorder="1" applyFont="1"/>
    <xf borderId="7" fillId="6" fontId="4" numFmtId="166" xfId="0" applyAlignment="1" applyBorder="1" applyFill="1" applyFont="1" applyNumberFormat="1">
      <alignment readingOrder="0"/>
    </xf>
    <xf borderId="8" fillId="6" fontId="5" numFmtId="166" xfId="0" applyBorder="1" applyFont="1" applyNumberFormat="1"/>
    <xf borderId="9" fillId="6" fontId="5" numFmtId="166" xfId="0" applyBorder="1" applyFont="1" applyNumberFormat="1"/>
    <xf borderId="0" fillId="0" fontId="5" numFmtId="166" xfId="0" applyFont="1" applyNumberFormat="1"/>
    <xf borderId="0" fillId="0" fontId="4" numFmtId="0" xfId="0" applyFont="1"/>
    <xf borderId="0" fillId="0" fontId="5" numFmtId="0" xfId="0" applyFont="1"/>
    <xf borderId="10" fillId="7" fontId="4" numFmtId="0" xfId="0" applyAlignment="1" applyBorder="1" applyFill="1" applyFont="1">
      <alignment horizontal="left"/>
    </xf>
    <xf borderId="11" fillId="0" fontId="6" numFmtId="0" xfId="0" applyBorder="1" applyFont="1"/>
    <xf borderId="7" fillId="6" fontId="5" numFmtId="167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10" fillId="0" fontId="4" numFmtId="166" xfId="0" applyAlignment="1" applyBorder="1" applyFont="1" applyNumberFormat="1">
      <alignment horizontal="center"/>
    </xf>
    <xf borderId="12" fillId="0" fontId="6" numFmtId="0" xfId="0" applyBorder="1" applyFont="1"/>
    <xf borderId="13" fillId="0" fontId="5" numFmtId="166" xfId="0" applyBorder="1" applyFont="1" applyNumberFormat="1"/>
    <xf borderId="7" fillId="0" fontId="4" numFmtId="166" xfId="0" applyBorder="1" applyFont="1" applyNumberFormat="1"/>
    <xf borderId="10" fillId="0" fontId="4" numFmtId="166" xfId="0" applyBorder="1" applyFont="1" applyNumberFormat="1"/>
    <xf borderId="0" fillId="0" fontId="5" numFmtId="166" xfId="0" applyAlignment="1" applyFont="1" applyNumberFormat="1">
      <alignment readingOrder="0"/>
    </xf>
    <xf borderId="7" fillId="7" fontId="4" numFmtId="0" xfId="0" applyBorder="1" applyFont="1"/>
    <xf borderId="7" fillId="6" fontId="5" numFmtId="166" xfId="0" applyAlignment="1" applyBorder="1" applyFont="1" applyNumberFormat="1">
      <alignment readingOrder="0"/>
    </xf>
    <xf borderId="14" fillId="7" fontId="4" numFmtId="0" xfId="0" applyBorder="1" applyFont="1"/>
    <xf borderId="0" fillId="0" fontId="5" numFmtId="167" xfId="0" applyFont="1" applyNumberFormat="1"/>
    <xf borderId="0" fillId="0" fontId="5" numFmtId="167" xfId="0" applyAlignment="1" applyFont="1" applyNumberFormat="1">
      <alignment readingOrder="0"/>
    </xf>
    <xf borderId="7" fillId="0" fontId="4" numFmtId="166" xfId="0" applyAlignment="1" applyBorder="1" applyFont="1" applyNumberFormat="1">
      <alignment horizontal="right"/>
    </xf>
    <xf borderId="7" fillId="8" fontId="5" numFmtId="0" xfId="0" applyBorder="1" applyFill="1" applyFont="1"/>
    <xf borderId="7" fillId="6" fontId="5" numFmtId="10" xfId="0" applyAlignment="1" applyBorder="1" applyFont="1" applyNumberFormat="1">
      <alignment readingOrder="0"/>
    </xf>
    <xf borderId="15" fillId="7" fontId="5" numFmtId="0" xfId="0" applyBorder="1" applyFont="1"/>
    <xf borderId="0" fillId="0" fontId="4" numFmtId="166" xfId="0" applyAlignment="1" applyFont="1" applyNumberFormat="1">
      <alignment horizontal="right"/>
    </xf>
    <xf borderId="7" fillId="6" fontId="5" numFmtId="167" xfId="0" applyBorder="1" applyFont="1" applyNumberFormat="1"/>
    <xf borderId="16" fillId="7" fontId="5" numFmtId="0" xfId="0" applyBorder="1" applyFont="1"/>
    <xf borderId="17" fillId="0" fontId="5" numFmtId="166" xfId="0" applyBorder="1" applyFont="1" applyNumberFormat="1"/>
    <xf borderId="12" fillId="0" fontId="4" numFmtId="166" xfId="0" applyBorder="1" applyFont="1" applyNumberFormat="1"/>
    <xf borderId="18" fillId="7" fontId="5" numFmtId="0" xfId="0" applyBorder="1" applyFont="1"/>
    <xf borderId="19" fillId="0" fontId="5" numFmtId="0" xfId="0" applyBorder="1" applyFont="1"/>
    <xf borderId="5" fillId="0" fontId="5" numFmtId="0" xfId="0" applyBorder="1" applyFont="1"/>
    <xf borderId="7" fillId="0" fontId="5" numFmtId="167" xfId="0" applyBorder="1" applyFont="1" applyNumberFormat="1"/>
    <xf borderId="7" fillId="6" fontId="5" numFmtId="9" xfId="0" applyBorder="1" applyFont="1" applyNumberFormat="1"/>
    <xf borderId="7" fillId="7" fontId="5" numFmtId="0" xfId="0" applyBorder="1" applyFont="1"/>
    <xf borderId="7" fillId="0" fontId="5" numFmtId="0" xfId="0" applyBorder="1" applyFont="1"/>
    <xf borderId="0" fillId="0" fontId="4" numFmtId="167" xfId="0" applyAlignment="1" applyFont="1" applyNumberFormat="1">
      <alignment horizontal="right"/>
    </xf>
    <xf borderId="7" fillId="0" fontId="5" numFmtId="166" xfId="0" applyBorder="1" applyFont="1" applyNumberFormat="1"/>
    <xf borderId="7" fillId="0" fontId="4" numFmtId="167" xfId="0" applyBorder="1" applyFont="1" applyNumberFormat="1"/>
    <xf borderId="10" fillId="0" fontId="5" numFmtId="167" xfId="0" applyBorder="1" applyFont="1" applyNumberFormat="1"/>
    <xf borderId="12" fillId="0" fontId="5" numFmtId="167" xfId="0" applyBorder="1" applyFont="1" applyNumberFormat="1"/>
    <xf borderId="11" fillId="0" fontId="5" numFmtId="167" xfId="0" applyBorder="1" applyFont="1" applyNumberFormat="1"/>
    <xf borderId="17" fillId="0" fontId="5" numFmtId="167" xfId="0" applyBorder="1" applyFont="1" applyNumberFormat="1"/>
    <xf borderId="0" fillId="0" fontId="7" numFmtId="167" xfId="0" applyFont="1" applyNumberFormat="1"/>
    <xf borderId="0" fillId="0" fontId="8" numFmtId="167" xfId="0" applyFont="1" applyNumberFormat="1"/>
    <xf borderId="0" fillId="0" fontId="9" numFmtId="167" xfId="0" applyAlignment="1" applyFont="1" applyNumberFormat="1">
      <alignment horizontal="right"/>
    </xf>
    <xf borderId="0" fillId="0" fontId="4" numFmtId="167" xfId="0" applyFont="1" applyNumberFormat="1"/>
    <xf borderId="20" fillId="0" fontId="4" numFmtId="167" xfId="0" applyBorder="1" applyFont="1" applyNumberFormat="1"/>
    <xf borderId="21" fillId="0" fontId="4" numFmtId="167" xfId="0" applyBorder="1" applyFont="1" applyNumberFormat="1"/>
    <xf borderId="21" fillId="0" fontId="4" numFmtId="168" xfId="0" applyBorder="1" applyFont="1" applyNumberFormat="1"/>
    <xf borderId="21" fillId="9" fontId="4" numFmtId="168" xfId="0" applyBorder="1" applyFill="1" applyFont="1" applyNumberFormat="1"/>
    <xf borderId="0" fillId="0" fontId="4" numFmtId="168" xfId="0" applyFont="1" applyNumberFormat="1"/>
    <xf borderId="0" fillId="0" fontId="5" numFmtId="169" xfId="0" applyFont="1" applyNumberFormat="1"/>
    <xf borderId="20" fillId="0" fontId="4" numFmtId="169" xfId="0" applyBorder="1" applyFont="1" applyNumberFormat="1"/>
    <xf borderId="20" fillId="10" fontId="4" numFmtId="169" xfId="0" applyBorder="1" applyFill="1" applyFont="1" applyNumberFormat="1"/>
    <xf borderId="0" fillId="0" fontId="4" numFmtId="169" xfId="0" applyFont="1" applyNumberFormat="1"/>
    <xf borderId="22" fillId="11" fontId="5" numFmtId="167" xfId="0" applyBorder="1" applyFill="1" applyFont="1" applyNumberFormat="1"/>
    <xf borderId="23" fillId="12" fontId="4" numFmtId="167" xfId="0" applyBorder="1" applyFill="1" applyFont="1" applyNumberFormat="1"/>
    <xf borderId="22" fillId="13" fontId="5" numFmtId="167" xfId="0" applyBorder="1" applyFill="1" applyFont="1" applyNumberFormat="1"/>
    <xf borderId="0" fillId="0" fontId="10" numFmtId="167" xfId="0" applyFont="1" applyNumberFormat="1"/>
    <xf borderId="0" fillId="0" fontId="11" numFmtId="167" xfId="0" applyFont="1" applyNumberFormat="1"/>
    <xf borderId="0" fillId="0" fontId="4" numFmtId="166" xfId="0" applyFont="1" applyNumberFormat="1"/>
    <xf borderId="0" fillId="0" fontId="12" numFmtId="0" xfId="0" applyAlignment="1" applyFont="1">
      <alignment horizontal="right"/>
    </xf>
    <xf borderId="20" fillId="0" fontId="5" numFmtId="167" xfId="0" applyBorder="1" applyFont="1" applyNumberFormat="1"/>
    <xf borderId="17" fillId="0" fontId="4" numFmtId="169" xfId="0" applyBorder="1" applyFont="1" applyNumberFormat="1"/>
    <xf borderId="17" fillId="9" fontId="4" numFmtId="169" xfId="0" applyBorder="1" applyFont="1" applyNumberFormat="1"/>
    <xf borderId="20" fillId="0" fontId="5" numFmtId="169" xfId="0" applyBorder="1" applyFont="1" applyNumberFormat="1"/>
    <xf borderId="0" fillId="0" fontId="2" numFmtId="167" xfId="0" applyFont="1" applyNumberFormat="1"/>
    <xf borderId="0" fillId="0" fontId="1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Users vs Months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'User Growth'!$B$1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'User Growth'!$A$2:$A$37</c:f>
            </c:strRef>
          </c:cat>
          <c:val>
            <c:numRef>
              <c:f>'User Growth'!$B$2:$B$37</c:f>
              <c:numCache/>
            </c:numRef>
          </c:val>
        </c:ser>
        <c:axId val="64169452"/>
        <c:axId val="783101192"/>
      </c:areaChart>
      <c:catAx>
        <c:axId val="64169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101192"/>
      </c:catAx>
      <c:valAx>
        <c:axId val="783101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69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190500</xdr:rowOff>
    </xdr:from>
    <xdr:ext cx="5715000" cy="3533775"/>
    <xdr:graphicFrame>
      <xdr:nvGraphicFramePr>
        <xdr:cNvPr id="126249668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3.71"/>
    <col customWidth="1" min="11" max="11" width="23.43"/>
  </cols>
  <sheetData>
    <row r="1">
      <c r="A1" s="1" t="s">
        <v>0</v>
      </c>
      <c r="B1" s="2" t="s">
        <v>1</v>
      </c>
    </row>
    <row r="2">
      <c r="A2" s="3">
        <v>1.0</v>
      </c>
      <c r="B2" s="4">
        <f>IF(A2 &lt;= L9, 0, 'User Growth'!L7 / (1 + ('User Growth'!L7 - 'User Growth'!L6) / 'User Growth'!L6 * EXP(-'User Growth'!L8 * A2)))</f>
        <v>0</v>
      </c>
    </row>
    <row r="3">
      <c r="A3" s="3">
        <v>2.0</v>
      </c>
      <c r="B3" s="5">
        <f>IF(A3 &lt;= L9, 0, L7 / (1 + (L7 - L6) / L6 * EXP(-L8 * A3)))</f>
        <v>0</v>
      </c>
    </row>
    <row r="4">
      <c r="A4" s="3">
        <v>3.0</v>
      </c>
      <c r="B4" s="5">
        <f>IF(A4 &lt;= L9, 0, L7 / (1 + (L7 - L6) / L6 * EXP(-L8 * A4)))</f>
        <v>0</v>
      </c>
    </row>
    <row r="5">
      <c r="A5" s="3">
        <v>4.0</v>
      </c>
      <c r="B5" s="5">
        <f>IF(A5 &lt;= L9, 0, L7 / (1 + (L7 - L6) / L6 * EXP(-L8 * A5)))</f>
        <v>0</v>
      </c>
      <c r="K5" s="6" t="s">
        <v>2</v>
      </c>
    </row>
    <row r="6">
      <c r="A6" s="3">
        <v>5.0</v>
      </c>
      <c r="B6" s="5">
        <f>IF(A6 &lt;= L9, 0, L7 / (1 + (L7 - L6) / L6 * EXP(-L8 * A6)))</f>
        <v>0</v>
      </c>
      <c r="K6" s="7" t="s">
        <v>3</v>
      </c>
      <c r="L6" s="8">
        <v>250.0</v>
      </c>
    </row>
    <row r="7">
      <c r="A7" s="3">
        <v>6.0</v>
      </c>
      <c r="B7" s="5">
        <f>IF(A7 &lt;= L9, 0, L7 / (1 + (L7 - L6) / L6 * EXP(-L8 * A7)))</f>
        <v>0</v>
      </c>
      <c r="K7" s="7" t="s">
        <v>4</v>
      </c>
      <c r="L7" s="8">
        <v>25000.0</v>
      </c>
    </row>
    <row r="8">
      <c r="A8" s="3">
        <v>7.0</v>
      </c>
      <c r="B8" s="5">
        <f>IF(A8 &lt;= L9, 0, L7 / (1 + (L7 - L6) / L6 * EXP(-L8 * A8)))</f>
        <v>0</v>
      </c>
      <c r="K8" s="7" t="s">
        <v>5</v>
      </c>
      <c r="L8" s="8">
        <v>0.25</v>
      </c>
    </row>
    <row r="9">
      <c r="A9" s="3">
        <v>8.0</v>
      </c>
      <c r="B9" s="5">
        <f>IF(A9 &lt;= L9, 0, L7 / (1 + (L7 - L6) / L6 * EXP(-L8 * A9)))</f>
        <v>0</v>
      </c>
      <c r="K9" s="7" t="s">
        <v>6</v>
      </c>
      <c r="L9" s="9">
        <v>9.0</v>
      </c>
    </row>
    <row r="10">
      <c r="A10" s="3">
        <v>9.0</v>
      </c>
      <c r="B10" s="5">
        <f>IF(A10 &lt;= L9, 0, L7 / (1 + (L7 - L6) / L6 * EXP(-L8 * A10)))</f>
        <v>0</v>
      </c>
    </row>
    <row r="11">
      <c r="A11" s="3">
        <v>10.0</v>
      </c>
      <c r="B11" s="5">
        <f>IF(A11 &lt;= L9, 0, L7 / (1 + (L7 - L6) / L6 * EXP(-L8 * (A11 - L9))))</f>
        <v>320.0971968</v>
      </c>
    </row>
    <row r="12">
      <c r="A12" s="3">
        <v>11.0</v>
      </c>
      <c r="B12" s="5">
        <f>IF(A12 &lt;= L9, 0, L7 / (1 + (L7 - L6) / L6 * EXP(-L8 * (A12 - L9))))</f>
        <v>409.5236506</v>
      </c>
    </row>
    <row r="13">
      <c r="A13" s="3">
        <v>12.0</v>
      </c>
      <c r="B13" s="5">
        <f>IF(A13 &lt;= L9, 0, L7 / (1 + (L7 - L6) / L6 * EXP(-L8 * (A13 - L9))))</f>
        <v>523.403586</v>
      </c>
    </row>
    <row r="14">
      <c r="A14" s="3">
        <v>13.0</v>
      </c>
      <c r="B14" s="5">
        <f>IF(A14 &lt;= L9, 0, L7 / (1 + (L7 - L6) / L6 * EXP(-L8 * (A14 - L9))))</f>
        <v>668.0907747</v>
      </c>
    </row>
    <row r="15">
      <c r="A15" s="3">
        <v>14.0</v>
      </c>
      <c r="B15" s="5">
        <f>IF(A15 &lt;= L9, 0, L7 / (1 + (L7 - L6) / L6 * EXP(-L8 * (A15 - L9))))</f>
        <v>851.3833735</v>
      </c>
    </row>
    <row r="16">
      <c r="A16" s="3">
        <v>15.0</v>
      </c>
      <c r="B16" s="5">
        <f>IF(A16 &lt;= L9, 0, L7 / (1 + (L7 - L6) / L6 * EXP(-L8 * (A16 - L9))))</f>
        <v>1082.725145</v>
      </c>
    </row>
    <row r="17">
      <c r="A17" s="3">
        <v>16.0</v>
      </c>
      <c r="B17" s="5">
        <f>IF(A17 &lt;= L9, 0, L7 / (1 + (L7 - L6) / L6 * EXP(-L8 * (A17 - L9))))</f>
        <v>1373.353182</v>
      </c>
    </row>
    <row r="18">
      <c r="A18" s="3">
        <v>17.0</v>
      </c>
      <c r="B18" s="5">
        <f>IF(A18 &lt;= L9, 0, L7 / (1 + (L7 - L6) / L6 * EXP(-L8 * (A18 - L9))))</f>
        <v>1736.328991</v>
      </c>
    </row>
    <row r="19">
      <c r="A19" s="3">
        <v>18.0</v>
      </c>
      <c r="B19" s="5">
        <f>IF(A19 &lt;= L9, 0, L7 / (1 + (L7 - L6) / L6 * EXP(-L8 * (A19 - L9))))</f>
        <v>2186.361381</v>
      </c>
    </row>
    <row r="20">
      <c r="A20" s="3">
        <v>19.0</v>
      </c>
      <c r="B20" s="5">
        <f>IF(A20 &lt;= L9, 0, L7 / (1 + (L7 - L6) / L6 * EXP(-L8 * (A20 - L9))))</f>
        <v>2739.301289</v>
      </c>
    </row>
    <row r="21">
      <c r="A21" s="3">
        <v>20.0</v>
      </c>
      <c r="B21" s="5">
        <f>IF(A21 &lt;= L9, 0, L7 / (1 + (L7 - L6) / L6 * EXP(-L8 * (A21 - L9))))</f>
        <v>3411.172534</v>
      </c>
    </row>
    <row r="22">
      <c r="A22" s="3">
        <v>21.0</v>
      </c>
      <c r="B22" s="5">
        <f>IF(A22 &lt;= L9, 0, L7 / (1 + (L7 - L6) / L6 * EXP(-L8 * (A22 - L9))))</f>
        <v>4216.619718</v>
      </c>
      <c r="D22" s="10"/>
    </row>
    <row r="23">
      <c r="A23" s="3">
        <v>22.0</v>
      </c>
      <c r="B23" s="5">
        <f>IF(A23 &lt;= L9, 0, L7 / (1 + (L7 - L6) / L6 * EXP(-L8 * (A23 - L9))))</f>
        <v>5166.734047</v>
      </c>
      <c r="D23" s="10"/>
    </row>
    <row r="24">
      <c r="A24" s="3">
        <v>23.0</v>
      </c>
      <c r="B24" s="5">
        <f>IF(A24 &lt;= L9, 0, L7 / (1 + (L7 - L6) / L6 * EXP(-L8 * (A24 - L9))))</f>
        <v>6266.385095</v>
      </c>
    </row>
    <row r="25">
      <c r="A25" s="3">
        <v>24.0</v>
      </c>
      <c r="B25" s="5">
        <f>IF(A25 &lt;= L9, 0, L7 / (1 + (L7 - L6) / L6 * EXP(-L8 * (A25 - L9))))</f>
        <v>7511.439532</v>
      </c>
    </row>
    <row r="26">
      <c r="A26" s="3">
        <v>25.0</v>
      </c>
      <c r="B26" s="5">
        <f>IF(A26 &lt;= L9, 0, L7 / (1 + (L7 - L6) / L6 * EXP(-L8 * (A26 - L9))))</f>
        <v>8886.524678</v>
      </c>
    </row>
    <row r="27">
      <c r="A27" s="3">
        <v>26.0</v>
      </c>
      <c r="B27" s="5">
        <f>IF(A27 &lt;= L9, 0, L7 / (1 + (L7 - L6) / L6 * EXP(-L8 * (A27 - L9))))</f>
        <v>10364.15857</v>
      </c>
    </row>
    <row r="28">
      <c r="A28" s="3">
        <v>27.0</v>
      </c>
      <c r="B28" s="5">
        <f>IF(A28 &lt;= L9, 0, L7 / (1 + (L7 - L6) / L6 * EXP(-L8 * (A28 - L9))))</f>
        <v>11905.94877</v>
      </c>
    </row>
    <row r="29">
      <c r="A29" s="3">
        <v>28.0</v>
      </c>
      <c r="B29" s="5">
        <f>IF(A29 &lt;= L9, 0, L7 / (1 + (L7 - L6) / L6 * EXP(-L8 * (A29 - L9))))</f>
        <v>13466.07054</v>
      </c>
      <c r="K29" s="6" t="s">
        <v>7</v>
      </c>
    </row>
    <row r="30">
      <c r="A30" s="3">
        <v>29.0</v>
      </c>
      <c r="B30" s="5">
        <f>IF(A30 &lt;= L9, 0, L7 / (1 + (L7 - L6) / L6 * EXP(-L8 * (A30 - L9))))</f>
        <v>14996.49005</v>
      </c>
      <c r="K30" s="7" t="s">
        <v>8</v>
      </c>
      <c r="L30" s="7" t="s">
        <v>9</v>
      </c>
      <c r="N30" s="11">
        <v>8000000.0</v>
      </c>
    </row>
    <row r="31">
      <c r="A31" s="3">
        <v>30.0</v>
      </c>
      <c r="B31" s="5">
        <f>IF(A31 &lt;= L9, 0, L7 / (1 + (L7 - L6) / L6 * EXP(-L8 * (A31 - L9))))</f>
        <v>16452.73373</v>
      </c>
      <c r="K31" s="7" t="s">
        <v>10</v>
      </c>
      <c r="L31" s="7" t="s">
        <v>11</v>
      </c>
      <c r="M31" s="9">
        <v>0.3</v>
      </c>
      <c r="N31" s="12">
        <f t="shared" ref="N31:N32" si="1">N30*M31</f>
        <v>2400000</v>
      </c>
    </row>
    <row r="32">
      <c r="A32" s="3">
        <v>31.0</v>
      </c>
      <c r="B32" s="5">
        <f>IF(A32 &lt;= L9, 0, L7 / (1 + (L7 - L6) / L6 * EXP(-L8 * (A32 - L9))))</f>
        <v>17798.78354</v>
      </c>
      <c r="K32" s="7" t="s">
        <v>12</v>
      </c>
      <c r="L32" s="7" t="s">
        <v>13</v>
      </c>
      <c r="M32" s="9">
        <v>0.02</v>
      </c>
      <c r="N32" s="13">
        <f t="shared" si="1"/>
        <v>48000</v>
      </c>
    </row>
    <row r="33">
      <c r="A33" s="3">
        <v>32.0</v>
      </c>
      <c r="B33" s="5">
        <f>IF(A33 &lt;= L9, 0, L7 / (1 + (L7 - L6) / L6 * EXP(-L8 * (A33 - L9))))</f>
        <v>19010.02918</v>
      </c>
    </row>
    <row r="34">
      <c r="A34" s="3">
        <v>33.0</v>
      </c>
      <c r="B34" s="5">
        <f>IF(A34 &lt;= L9, 0, L7 / (1 + (L7 - L6) / L6 * EXP(-L8 * (A34 - L9))))</f>
        <v>20073.92882</v>
      </c>
    </row>
    <row r="35">
      <c r="A35" s="3">
        <v>34.0</v>
      </c>
      <c r="B35" s="5">
        <f>IF(A35 &lt;= L9, 0, L7 / (1 + (L7 - L6) / L6 * EXP(-L8 * (A35 - L9))))</f>
        <v>20988.73816</v>
      </c>
      <c r="K35" s="6" t="s">
        <v>14</v>
      </c>
    </row>
    <row r="36">
      <c r="A36" s="3">
        <v>35.0</v>
      </c>
      <c r="B36" s="5">
        <f>IF(A36 &lt;= L9, 0, L7 / (1 + (L7 - L6) / L6 * EXP(-L8 * (A36 - L9))))</f>
        <v>21761.07165</v>
      </c>
      <c r="K36" s="7" t="s">
        <v>15</v>
      </c>
      <c r="L36" s="14">
        <f>Summary!D40</f>
        <v>1572998.489</v>
      </c>
    </row>
    <row r="37">
      <c r="A37" s="15">
        <v>36.0</v>
      </c>
      <c r="B37" s="16">
        <f>IF(A37 &lt;= L9, 0, L7 / (1 + (L7 - L6) / L6 * EXP(-L8 * (A37 - L9))))</f>
        <v>22403.09822</v>
      </c>
      <c r="K37" s="7" t="s">
        <v>16</v>
      </c>
      <c r="L37" s="14">
        <f>L36 * 6</f>
        <v>9437990.937</v>
      </c>
    </row>
    <row r="38">
      <c r="A38" s="17"/>
      <c r="B38" s="12"/>
      <c r="K38" s="7" t="s">
        <v>17</v>
      </c>
      <c r="L38" s="18">
        <f>(L46/L36)</f>
        <v>0.572155667</v>
      </c>
    </row>
    <row r="39">
      <c r="A39" s="17"/>
      <c r="B39" s="12"/>
    </row>
    <row r="40">
      <c r="A40" s="17"/>
      <c r="B40" s="12"/>
      <c r="K40" s="7" t="s">
        <v>18</v>
      </c>
      <c r="L40" s="14">
        <f>'P&amp;L'!AO35 * 12</f>
        <v>2743636.875</v>
      </c>
      <c r="N40" s="19"/>
    </row>
    <row r="41">
      <c r="A41" s="17"/>
      <c r="B41" s="12"/>
      <c r="K41" s="7" t="s">
        <v>16</v>
      </c>
      <c r="L41" s="14">
        <f>L40 * 6</f>
        <v>16461821.25</v>
      </c>
    </row>
    <row r="42">
      <c r="A42" s="17"/>
      <c r="B42" s="12"/>
      <c r="K42" s="7" t="s">
        <v>19</v>
      </c>
      <c r="L42" s="18">
        <f>(L45/L37)</f>
        <v>0.01589321297</v>
      </c>
    </row>
    <row r="43">
      <c r="A43" s="17"/>
      <c r="B43" s="12"/>
    </row>
    <row r="44">
      <c r="A44" s="17"/>
      <c r="B44" s="12"/>
      <c r="K44" s="7" t="s">
        <v>20</v>
      </c>
      <c r="L44" s="9">
        <v>6.0</v>
      </c>
    </row>
    <row r="45">
      <c r="A45" s="17"/>
      <c r="B45" s="12"/>
      <c r="K45" s="7" t="s">
        <v>21</v>
      </c>
      <c r="L45" s="20">
        <v>150000.0</v>
      </c>
    </row>
    <row r="46">
      <c r="A46" s="17"/>
      <c r="B46" s="12"/>
      <c r="K46" s="7" t="s">
        <v>22</v>
      </c>
      <c r="L46" s="21">
        <f>L44 * L45</f>
        <v>900000</v>
      </c>
    </row>
    <row r="47">
      <c r="A47" s="17"/>
      <c r="B47" s="12"/>
    </row>
    <row r="48">
      <c r="A48" s="17"/>
      <c r="B48" s="12"/>
    </row>
    <row r="49">
      <c r="A49" s="17"/>
      <c r="B49" s="12"/>
    </row>
    <row r="50">
      <c r="A50" s="17"/>
      <c r="B50" s="12"/>
    </row>
    <row r="51">
      <c r="A51" s="17"/>
      <c r="B51" s="12"/>
    </row>
    <row r="52">
      <c r="A52" s="17"/>
      <c r="B52" s="12"/>
    </row>
    <row r="53">
      <c r="A53" s="17"/>
      <c r="B53" s="12"/>
    </row>
    <row r="54">
      <c r="A54" s="17"/>
      <c r="B54" s="12"/>
    </row>
    <row r="55">
      <c r="A55" s="17"/>
      <c r="B55" s="12"/>
    </row>
    <row r="56">
      <c r="A56" s="17"/>
      <c r="B56" s="12"/>
    </row>
    <row r="57">
      <c r="A57" s="17"/>
      <c r="B57" s="12"/>
      <c r="K57" s="6" t="s">
        <v>23</v>
      </c>
    </row>
    <row r="58">
      <c r="A58" s="17"/>
      <c r="B58" s="12"/>
      <c r="K58" s="22" t="s">
        <v>24</v>
      </c>
      <c r="L58" s="22" t="s">
        <v>25</v>
      </c>
      <c r="M58" s="22" t="s">
        <v>26</v>
      </c>
      <c r="N58" s="22" t="s">
        <v>27</v>
      </c>
    </row>
    <row r="59">
      <c r="A59" s="17"/>
      <c r="B59" s="12"/>
      <c r="K59" s="7" t="s">
        <v>28</v>
      </c>
      <c r="L59" s="9">
        <v>7.0</v>
      </c>
      <c r="M59" s="9">
        <v>99.0</v>
      </c>
      <c r="N59" s="18">
        <f>((M59-L59)/L59)</f>
        <v>13.14285714</v>
      </c>
    </row>
    <row r="60">
      <c r="A60" s="17"/>
      <c r="B60" s="12"/>
      <c r="K60" s="7" t="s">
        <v>29</v>
      </c>
      <c r="L60" s="9">
        <v>23.0</v>
      </c>
      <c r="M60" s="9">
        <v>1269.0</v>
      </c>
      <c r="N60" s="18">
        <f t="shared" ref="N60:N62" si="2">((M60-L60)/L60)*1</f>
        <v>54.17391304</v>
      </c>
    </row>
    <row r="61">
      <c r="A61" s="17"/>
      <c r="B61" s="12"/>
      <c r="K61" s="7" t="s">
        <v>30</v>
      </c>
      <c r="L61" s="9">
        <v>8.0</v>
      </c>
      <c r="M61" s="9">
        <v>400.0</v>
      </c>
      <c r="N61" s="18">
        <f t="shared" si="2"/>
        <v>49</v>
      </c>
    </row>
    <row r="62">
      <c r="A62" s="17"/>
      <c r="B62" s="12"/>
      <c r="K62" s="7" t="s">
        <v>31</v>
      </c>
      <c r="L62" s="9">
        <v>1.0</v>
      </c>
      <c r="M62" s="9">
        <v>31.0</v>
      </c>
      <c r="N62" s="18">
        <f t="shared" si="2"/>
        <v>30</v>
      </c>
    </row>
    <row r="63">
      <c r="A63" s="17"/>
      <c r="B63" s="12"/>
      <c r="K63" s="7" t="s">
        <v>32</v>
      </c>
      <c r="L63" s="7" t="s">
        <v>33</v>
      </c>
      <c r="M63" s="7" t="s">
        <v>33</v>
      </c>
      <c r="N63" s="23">
        <f>AVERAGE(N59:N62)</f>
        <v>36.57919255</v>
      </c>
    </row>
    <row r="64">
      <c r="A64" s="17"/>
      <c r="B64" s="12"/>
    </row>
    <row r="65">
      <c r="A65" s="17"/>
      <c r="B65" s="12"/>
    </row>
    <row r="66">
      <c r="A66" s="17"/>
      <c r="B66" s="12"/>
      <c r="K66" s="6" t="s">
        <v>34</v>
      </c>
    </row>
    <row r="67">
      <c r="A67" s="17"/>
      <c r="B67" s="12"/>
      <c r="K67" s="22" t="s">
        <v>24</v>
      </c>
      <c r="L67" s="22" t="s">
        <v>25</v>
      </c>
      <c r="M67" s="22" t="s">
        <v>26</v>
      </c>
      <c r="N67" s="22" t="s">
        <v>35</v>
      </c>
    </row>
    <row r="68">
      <c r="A68" s="17"/>
      <c r="B68" s="12"/>
      <c r="K68" s="7" t="s">
        <v>36</v>
      </c>
      <c r="L68" s="24">
        <f>M61</f>
        <v>400</v>
      </c>
      <c r="M68" s="7">
        <v>66.0</v>
      </c>
      <c r="N68" s="18">
        <f>(M68/L68)</f>
        <v>0.165</v>
      </c>
    </row>
    <row r="69">
      <c r="A69" s="17"/>
      <c r="B69" s="12"/>
    </row>
    <row r="70">
      <c r="A70" s="17"/>
      <c r="B70" s="12"/>
      <c r="K70" s="7" t="s">
        <v>37</v>
      </c>
      <c r="L70" s="7">
        <v>136.0</v>
      </c>
    </row>
    <row r="71">
      <c r="A71" s="17"/>
      <c r="B71" s="12"/>
    </row>
    <row r="72">
      <c r="A72" s="17"/>
      <c r="B72" s="12"/>
    </row>
    <row r="73">
      <c r="A73" s="17"/>
      <c r="B73" s="12"/>
    </row>
    <row r="74">
      <c r="A74" s="17"/>
      <c r="B74" s="12"/>
    </row>
    <row r="75">
      <c r="A75" s="17"/>
      <c r="B75" s="12"/>
    </row>
    <row r="76">
      <c r="A76" s="17"/>
      <c r="B76" s="12"/>
    </row>
    <row r="77">
      <c r="A77" s="17"/>
      <c r="B77" s="12"/>
    </row>
    <row r="78">
      <c r="A78" s="17"/>
      <c r="B78" s="12"/>
    </row>
    <row r="79">
      <c r="A79" s="17"/>
      <c r="B79" s="12"/>
    </row>
    <row r="80">
      <c r="A80" s="17"/>
      <c r="B80" s="12"/>
    </row>
    <row r="81">
      <c r="A81" s="17"/>
      <c r="B81" s="12"/>
    </row>
    <row r="82">
      <c r="A82" s="17"/>
      <c r="B82" s="12"/>
    </row>
    <row r="83">
      <c r="A83" s="17"/>
      <c r="B83" s="12"/>
    </row>
    <row r="84">
      <c r="A84" s="17"/>
      <c r="B84" s="12"/>
    </row>
    <row r="85">
      <c r="A85" s="17"/>
      <c r="B85" s="12"/>
    </row>
    <row r="86">
      <c r="A86" s="17"/>
      <c r="B86" s="12"/>
    </row>
    <row r="87">
      <c r="A87" s="17"/>
      <c r="B87" s="12"/>
    </row>
    <row r="88">
      <c r="A88" s="17"/>
      <c r="B88" s="12"/>
    </row>
    <row r="89">
      <c r="A89" s="17"/>
      <c r="B89" s="12"/>
    </row>
    <row r="90">
      <c r="A90" s="17"/>
      <c r="B90" s="12"/>
    </row>
    <row r="91">
      <c r="A91" s="17"/>
      <c r="B91" s="12"/>
    </row>
    <row r="92">
      <c r="A92" s="17"/>
      <c r="B92" s="12"/>
    </row>
    <row r="93">
      <c r="A93" s="17"/>
      <c r="B93" s="12"/>
    </row>
    <row r="94">
      <c r="A94" s="17"/>
      <c r="B94" s="12"/>
    </row>
    <row r="95">
      <c r="A95" s="17"/>
      <c r="B95" s="12"/>
    </row>
    <row r="96">
      <c r="A96" s="17"/>
      <c r="B96" s="12"/>
    </row>
    <row r="97">
      <c r="A97" s="17"/>
      <c r="B97" s="12"/>
    </row>
    <row r="98">
      <c r="A98" s="17"/>
      <c r="B98" s="12"/>
    </row>
    <row r="99">
      <c r="A99" s="17"/>
      <c r="B99" s="12"/>
    </row>
    <row r="100">
      <c r="A100" s="17"/>
      <c r="B100" s="12"/>
    </row>
    <row r="101">
      <c r="A101" s="17"/>
      <c r="B101" s="12"/>
    </row>
    <row r="102">
      <c r="A102" s="17"/>
      <c r="B102" s="12"/>
    </row>
    <row r="103">
      <c r="A103" s="17"/>
      <c r="B103" s="12"/>
    </row>
    <row r="104">
      <c r="A104" s="17"/>
      <c r="B104" s="12"/>
    </row>
    <row r="105">
      <c r="A105" s="17"/>
      <c r="B105" s="12"/>
    </row>
    <row r="106">
      <c r="A106" s="17"/>
      <c r="B106" s="12"/>
    </row>
    <row r="107">
      <c r="A107" s="17"/>
      <c r="B107" s="12"/>
    </row>
    <row r="108">
      <c r="A108" s="17"/>
      <c r="B108" s="12"/>
    </row>
    <row r="109">
      <c r="A109" s="17"/>
      <c r="B109" s="12"/>
    </row>
    <row r="110">
      <c r="A110" s="17"/>
      <c r="B110" s="12"/>
    </row>
    <row r="111">
      <c r="A111" s="17"/>
      <c r="B111" s="12"/>
    </row>
    <row r="112">
      <c r="A112" s="17"/>
      <c r="B112" s="12"/>
    </row>
    <row r="113">
      <c r="A113" s="17"/>
      <c r="B113" s="12"/>
    </row>
    <row r="114">
      <c r="A114" s="17"/>
      <c r="B114" s="12"/>
    </row>
    <row r="115">
      <c r="A115" s="17"/>
      <c r="B115" s="12"/>
    </row>
    <row r="116">
      <c r="A116" s="17"/>
      <c r="B116" s="12"/>
    </row>
    <row r="117">
      <c r="A117" s="17"/>
      <c r="B117" s="12"/>
    </row>
    <row r="118">
      <c r="A118" s="17"/>
      <c r="B118" s="12"/>
    </row>
    <row r="119">
      <c r="A119" s="17"/>
      <c r="B119" s="12"/>
    </row>
    <row r="120">
      <c r="A120" s="17"/>
      <c r="B120" s="12"/>
    </row>
    <row r="121">
      <c r="A121" s="17"/>
      <c r="B121" s="12"/>
    </row>
    <row r="122">
      <c r="A122" s="17"/>
      <c r="B122" s="12"/>
    </row>
    <row r="123">
      <c r="A123" s="17"/>
      <c r="B123" s="12"/>
    </row>
    <row r="124">
      <c r="A124" s="17"/>
      <c r="B124" s="12"/>
    </row>
    <row r="125">
      <c r="A125" s="17"/>
      <c r="B125" s="12"/>
    </row>
    <row r="126">
      <c r="A126" s="17"/>
      <c r="B126" s="12"/>
    </row>
    <row r="127">
      <c r="A127" s="17"/>
      <c r="B127" s="12"/>
    </row>
    <row r="128">
      <c r="A128" s="17"/>
      <c r="B128" s="12"/>
    </row>
    <row r="129">
      <c r="A129" s="17"/>
      <c r="B129" s="12"/>
    </row>
    <row r="130">
      <c r="A130" s="17"/>
      <c r="B130" s="12"/>
    </row>
    <row r="131">
      <c r="A131" s="17"/>
      <c r="B131" s="12"/>
    </row>
    <row r="132">
      <c r="A132" s="17"/>
      <c r="B132" s="12"/>
    </row>
    <row r="133">
      <c r="A133" s="17"/>
      <c r="B133" s="12"/>
    </row>
    <row r="134">
      <c r="A134" s="17"/>
      <c r="B134" s="12"/>
    </row>
    <row r="135">
      <c r="A135" s="17"/>
      <c r="B135" s="12"/>
    </row>
    <row r="136">
      <c r="A136" s="17"/>
      <c r="B136" s="12"/>
    </row>
    <row r="137">
      <c r="A137" s="17"/>
      <c r="B137" s="12"/>
    </row>
    <row r="138">
      <c r="A138" s="17"/>
      <c r="B138" s="12"/>
    </row>
    <row r="139">
      <c r="A139" s="17"/>
      <c r="B139" s="12"/>
    </row>
    <row r="140">
      <c r="A140" s="17"/>
      <c r="B140" s="12"/>
    </row>
    <row r="141">
      <c r="A141" s="17"/>
      <c r="B141" s="12"/>
    </row>
    <row r="142">
      <c r="A142" s="17"/>
      <c r="B142" s="12"/>
    </row>
    <row r="143">
      <c r="A143" s="17"/>
      <c r="B143" s="12"/>
    </row>
    <row r="144">
      <c r="A144" s="17"/>
      <c r="B144" s="12"/>
    </row>
    <row r="145">
      <c r="A145" s="17"/>
      <c r="B145" s="12"/>
    </row>
    <row r="146">
      <c r="A146" s="17"/>
      <c r="B146" s="12"/>
    </row>
    <row r="147">
      <c r="A147" s="17"/>
      <c r="B147" s="12"/>
    </row>
    <row r="148">
      <c r="A148" s="17"/>
      <c r="B148" s="12"/>
    </row>
    <row r="149">
      <c r="A149" s="17"/>
      <c r="B149" s="12"/>
    </row>
    <row r="150">
      <c r="A150" s="17"/>
      <c r="B150" s="12"/>
    </row>
    <row r="151">
      <c r="A151" s="17"/>
      <c r="B151" s="12"/>
    </row>
    <row r="152">
      <c r="A152" s="17"/>
      <c r="B152" s="12"/>
    </row>
    <row r="153">
      <c r="A153" s="17"/>
      <c r="B153" s="12"/>
    </row>
    <row r="154">
      <c r="A154" s="17"/>
      <c r="B154" s="12"/>
    </row>
    <row r="155">
      <c r="A155" s="17"/>
      <c r="B155" s="12"/>
    </row>
    <row r="156">
      <c r="A156" s="17"/>
      <c r="B156" s="12"/>
    </row>
    <row r="157">
      <c r="A157" s="17"/>
      <c r="B157" s="12"/>
    </row>
    <row r="158">
      <c r="A158" s="17"/>
      <c r="B158" s="12"/>
    </row>
    <row r="159">
      <c r="A159" s="17"/>
      <c r="B159" s="12"/>
    </row>
    <row r="160">
      <c r="A160" s="17"/>
      <c r="B160" s="12"/>
    </row>
    <row r="161">
      <c r="A161" s="17"/>
      <c r="B161" s="12"/>
    </row>
    <row r="162">
      <c r="A162" s="17"/>
      <c r="B162" s="12"/>
    </row>
    <row r="163">
      <c r="A163" s="17"/>
      <c r="B163" s="12"/>
    </row>
    <row r="164">
      <c r="A164" s="17"/>
      <c r="B164" s="12"/>
    </row>
    <row r="165">
      <c r="A165" s="17"/>
      <c r="B165" s="12"/>
    </row>
    <row r="166">
      <c r="A166" s="17"/>
      <c r="B166" s="12"/>
    </row>
    <row r="167">
      <c r="A167" s="17"/>
      <c r="B167" s="12"/>
    </row>
    <row r="168">
      <c r="A168" s="17"/>
      <c r="B168" s="12"/>
    </row>
    <row r="169">
      <c r="A169" s="17"/>
      <c r="B169" s="12"/>
    </row>
    <row r="170">
      <c r="A170" s="17"/>
      <c r="B170" s="12"/>
    </row>
    <row r="171">
      <c r="A171" s="17"/>
      <c r="B171" s="12"/>
    </row>
    <row r="172">
      <c r="A172" s="17"/>
      <c r="B172" s="12"/>
    </row>
    <row r="173">
      <c r="A173" s="17"/>
      <c r="B173" s="12"/>
    </row>
    <row r="174">
      <c r="A174" s="17"/>
      <c r="B174" s="12"/>
    </row>
    <row r="175">
      <c r="A175" s="17"/>
      <c r="B175" s="12"/>
    </row>
    <row r="176">
      <c r="A176" s="17"/>
      <c r="B176" s="12"/>
    </row>
    <row r="177">
      <c r="A177" s="17"/>
      <c r="B177" s="12"/>
    </row>
    <row r="178">
      <c r="A178" s="17"/>
      <c r="B178" s="12"/>
    </row>
    <row r="179">
      <c r="A179" s="17"/>
      <c r="B179" s="12"/>
    </row>
    <row r="180">
      <c r="A180" s="17"/>
      <c r="B180" s="12"/>
    </row>
    <row r="181">
      <c r="A181" s="17"/>
      <c r="B181" s="12"/>
    </row>
    <row r="182">
      <c r="A182" s="17"/>
      <c r="B182" s="12"/>
    </row>
    <row r="183">
      <c r="A183" s="17"/>
      <c r="B183" s="12"/>
    </row>
    <row r="184">
      <c r="A184" s="17"/>
      <c r="B184" s="12"/>
    </row>
    <row r="185">
      <c r="A185" s="17"/>
      <c r="B185" s="12"/>
    </row>
    <row r="186">
      <c r="A186" s="17"/>
      <c r="B186" s="12"/>
    </row>
    <row r="187">
      <c r="A187" s="17"/>
      <c r="B187" s="12"/>
    </row>
    <row r="188">
      <c r="A188" s="17"/>
      <c r="B188" s="12"/>
    </row>
    <row r="189">
      <c r="A189" s="17"/>
      <c r="B189" s="12"/>
    </row>
    <row r="190">
      <c r="A190" s="17"/>
      <c r="B190" s="12"/>
    </row>
    <row r="191">
      <c r="A191" s="17"/>
      <c r="B191" s="12"/>
    </row>
    <row r="192">
      <c r="A192" s="17"/>
      <c r="B192" s="12"/>
    </row>
    <row r="193">
      <c r="A193" s="17"/>
      <c r="B193" s="12"/>
    </row>
    <row r="194">
      <c r="A194" s="17"/>
      <c r="B194" s="12"/>
    </row>
    <row r="195">
      <c r="A195" s="17"/>
      <c r="B195" s="12"/>
    </row>
    <row r="196">
      <c r="A196" s="17"/>
      <c r="B196" s="12"/>
    </row>
    <row r="197">
      <c r="A197" s="17"/>
      <c r="B197" s="12"/>
    </row>
    <row r="198">
      <c r="A198" s="17"/>
      <c r="B198" s="12"/>
    </row>
    <row r="199">
      <c r="A199" s="17"/>
      <c r="B199" s="12"/>
    </row>
    <row r="200">
      <c r="A200" s="17"/>
      <c r="B200" s="12"/>
    </row>
    <row r="201">
      <c r="A201" s="17"/>
      <c r="B201" s="12"/>
    </row>
    <row r="202">
      <c r="A202" s="17"/>
      <c r="B202" s="12"/>
    </row>
    <row r="203">
      <c r="A203" s="17"/>
      <c r="B203" s="12"/>
    </row>
    <row r="204">
      <c r="A204" s="17"/>
      <c r="B204" s="12"/>
    </row>
    <row r="205">
      <c r="A205" s="17"/>
      <c r="B205" s="12"/>
    </row>
    <row r="206">
      <c r="A206" s="17"/>
      <c r="B206" s="12"/>
    </row>
    <row r="207">
      <c r="A207" s="17"/>
      <c r="B207" s="12"/>
    </row>
    <row r="208">
      <c r="A208" s="17"/>
      <c r="B208" s="12"/>
    </row>
    <row r="209">
      <c r="A209" s="17"/>
      <c r="B209" s="12"/>
    </row>
    <row r="210">
      <c r="A210" s="17"/>
      <c r="B210" s="12"/>
    </row>
    <row r="211">
      <c r="A211" s="17"/>
      <c r="B211" s="12"/>
    </row>
    <row r="212">
      <c r="A212" s="17"/>
      <c r="B212" s="12"/>
    </row>
    <row r="213">
      <c r="A213" s="17"/>
      <c r="B213" s="12"/>
    </row>
    <row r="214">
      <c r="A214" s="17"/>
      <c r="B214" s="12"/>
    </row>
    <row r="215">
      <c r="A215" s="17"/>
      <c r="B215" s="12"/>
    </row>
    <row r="216">
      <c r="A216" s="17"/>
      <c r="B216" s="12"/>
    </row>
    <row r="217">
      <c r="A217" s="17"/>
      <c r="B217" s="12"/>
    </row>
    <row r="218">
      <c r="A218" s="17"/>
      <c r="B218" s="12"/>
    </row>
    <row r="219">
      <c r="A219" s="17"/>
      <c r="B219" s="12"/>
    </row>
    <row r="220">
      <c r="A220" s="17"/>
      <c r="B220" s="12"/>
    </row>
    <row r="221">
      <c r="A221" s="17"/>
      <c r="B221" s="12"/>
    </row>
    <row r="222">
      <c r="A222" s="17"/>
      <c r="B222" s="12"/>
    </row>
    <row r="223">
      <c r="A223" s="17"/>
      <c r="B223" s="12"/>
    </row>
    <row r="224">
      <c r="A224" s="17"/>
      <c r="B224" s="12"/>
    </row>
    <row r="225">
      <c r="A225" s="17"/>
      <c r="B225" s="12"/>
    </row>
    <row r="226">
      <c r="A226" s="17"/>
      <c r="B226" s="12"/>
    </row>
    <row r="227">
      <c r="A227" s="17"/>
      <c r="B227" s="12"/>
    </row>
    <row r="228">
      <c r="A228" s="17"/>
      <c r="B228" s="12"/>
    </row>
    <row r="229">
      <c r="A229" s="17"/>
      <c r="B229" s="12"/>
    </row>
    <row r="230">
      <c r="A230" s="17"/>
      <c r="B230" s="12"/>
    </row>
    <row r="231">
      <c r="A231" s="17"/>
      <c r="B231" s="12"/>
    </row>
    <row r="232">
      <c r="A232" s="17"/>
      <c r="B232" s="12"/>
    </row>
    <row r="233">
      <c r="A233" s="17"/>
      <c r="B233" s="12"/>
    </row>
    <row r="234">
      <c r="A234" s="17"/>
      <c r="B234" s="12"/>
    </row>
    <row r="235">
      <c r="A235" s="17"/>
      <c r="B235" s="12"/>
    </row>
    <row r="236">
      <c r="A236" s="17"/>
      <c r="B236" s="12"/>
    </row>
    <row r="237">
      <c r="A237" s="17"/>
      <c r="B237" s="12"/>
    </row>
    <row r="238">
      <c r="A238" s="17"/>
      <c r="B238" s="12"/>
    </row>
    <row r="239">
      <c r="A239" s="17"/>
      <c r="B239" s="12"/>
    </row>
    <row r="240">
      <c r="A240" s="17"/>
      <c r="B240" s="12"/>
    </row>
    <row r="241">
      <c r="A241" s="17"/>
      <c r="B241" s="12"/>
    </row>
    <row r="242">
      <c r="A242" s="17"/>
      <c r="B242" s="12"/>
    </row>
    <row r="243">
      <c r="A243" s="17"/>
      <c r="B243" s="12"/>
    </row>
    <row r="244">
      <c r="A244" s="17"/>
      <c r="B244" s="12"/>
    </row>
    <row r="245">
      <c r="A245" s="17"/>
      <c r="B245" s="12"/>
    </row>
    <row r="246">
      <c r="A246" s="17"/>
      <c r="B246" s="12"/>
    </row>
    <row r="247">
      <c r="A247" s="17"/>
      <c r="B247" s="12"/>
    </row>
    <row r="248">
      <c r="A248" s="17"/>
      <c r="B248" s="12"/>
    </row>
    <row r="249">
      <c r="A249" s="17"/>
      <c r="B249" s="12"/>
    </row>
    <row r="250">
      <c r="A250" s="17"/>
      <c r="B250" s="12"/>
    </row>
    <row r="251">
      <c r="A251" s="17"/>
      <c r="B251" s="12"/>
    </row>
    <row r="252">
      <c r="A252" s="17"/>
      <c r="B252" s="12"/>
    </row>
    <row r="253">
      <c r="A253" s="17"/>
      <c r="B253" s="12"/>
    </row>
    <row r="254">
      <c r="A254" s="17"/>
      <c r="B254" s="12"/>
    </row>
    <row r="255">
      <c r="A255" s="17"/>
      <c r="B255" s="12"/>
    </row>
    <row r="256">
      <c r="A256" s="17"/>
      <c r="B256" s="12"/>
    </row>
    <row r="257">
      <c r="A257" s="17"/>
      <c r="B257" s="12"/>
    </row>
    <row r="258">
      <c r="A258" s="17"/>
      <c r="B258" s="12"/>
    </row>
    <row r="259">
      <c r="A259" s="17"/>
      <c r="B259" s="12"/>
    </row>
    <row r="260">
      <c r="A260" s="17"/>
      <c r="B260" s="12"/>
    </row>
    <row r="261">
      <c r="A261" s="17"/>
      <c r="B261" s="12"/>
    </row>
    <row r="262">
      <c r="A262" s="17"/>
      <c r="B262" s="12"/>
    </row>
    <row r="263">
      <c r="A263" s="17"/>
      <c r="B263" s="12"/>
    </row>
    <row r="264">
      <c r="A264" s="17"/>
      <c r="B264" s="12"/>
    </row>
    <row r="265">
      <c r="A265" s="17"/>
      <c r="B265" s="12"/>
    </row>
    <row r="266">
      <c r="A266" s="17"/>
      <c r="B266" s="12"/>
    </row>
    <row r="267">
      <c r="A267" s="17"/>
      <c r="B267" s="12"/>
    </row>
    <row r="268">
      <c r="A268" s="17"/>
      <c r="B268" s="12"/>
    </row>
    <row r="269">
      <c r="A269" s="17"/>
      <c r="B269" s="12"/>
    </row>
    <row r="270">
      <c r="A270" s="17"/>
      <c r="B270" s="12"/>
    </row>
    <row r="271">
      <c r="A271" s="17"/>
      <c r="B271" s="12"/>
    </row>
    <row r="272">
      <c r="A272" s="17"/>
      <c r="B272" s="12"/>
    </row>
    <row r="273">
      <c r="A273" s="17"/>
      <c r="B273" s="12"/>
    </row>
    <row r="274">
      <c r="A274" s="17"/>
      <c r="B274" s="12"/>
    </row>
    <row r="275">
      <c r="A275" s="17"/>
      <c r="B275" s="12"/>
    </row>
    <row r="276">
      <c r="A276" s="17"/>
      <c r="B276" s="12"/>
    </row>
    <row r="277">
      <c r="A277" s="17"/>
      <c r="B277" s="12"/>
    </row>
    <row r="278">
      <c r="A278" s="17"/>
      <c r="B278" s="12"/>
    </row>
    <row r="279">
      <c r="A279" s="17"/>
      <c r="B279" s="12"/>
    </row>
    <row r="280">
      <c r="A280" s="17"/>
      <c r="B280" s="12"/>
    </row>
    <row r="281">
      <c r="A281" s="17"/>
      <c r="B281" s="12"/>
    </row>
    <row r="282">
      <c r="A282" s="17"/>
      <c r="B282" s="12"/>
    </row>
    <row r="283">
      <c r="A283" s="17"/>
      <c r="B283" s="12"/>
    </row>
    <row r="284">
      <c r="A284" s="17"/>
      <c r="B284" s="12"/>
    </row>
    <row r="285">
      <c r="A285" s="17"/>
      <c r="B285" s="12"/>
    </row>
    <row r="286">
      <c r="A286" s="17"/>
      <c r="B286" s="12"/>
    </row>
    <row r="287">
      <c r="A287" s="17"/>
      <c r="B287" s="12"/>
    </row>
    <row r="288">
      <c r="A288" s="17"/>
      <c r="B288" s="12"/>
    </row>
    <row r="289">
      <c r="A289" s="17"/>
      <c r="B289" s="12"/>
    </row>
    <row r="290">
      <c r="A290" s="17"/>
      <c r="B290" s="12"/>
    </row>
    <row r="291">
      <c r="A291" s="17"/>
      <c r="B291" s="12"/>
    </row>
    <row r="292">
      <c r="A292" s="17"/>
      <c r="B292" s="12"/>
    </row>
    <row r="293">
      <c r="A293" s="17"/>
      <c r="B293" s="12"/>
    </row>
    <row r="294">
      <c r="A294" s="17"/>
      <c r="B294" s="12"/>
    </row>
    <row r="295">
      <c r="A295" s="17"/>
      <c r="B295" s="12"/>
    </row>
    <row r="296">
      <c r="A296" s="17"/>
      <c r="B296" s="12"/>
    </row>
    <row r="297">
      <c r="A297" s="17"/>
      <c r="B297" s="12"/>
    </row>
    <row r="298">
      <c r="A298" s="17"/>
      <c r="B298" s="12"/>
    </row>
    <row r="299">
      <c r="A299" s="17"/>
      <c r="B299" s="12"/>
    </row>
    <row r="300">
      <c r="A300" s="17"/>
      <c r="B300" s="12"/>
    </row>
    <row r="301">
      <c r="A301" s="17"/>
      <c r="B301" s="12"/>
    </row>
    <row r="302">
      <c r="A302" s="17"/>
      <c r="B302" s="12"/>
    </row>
    <row r="303">
      <c r="A303" s="17"/>
      <c r="B303" s="12"/>
    </row>
    <row r="304">
      <c r="A304" s="17"/>
      <c r="B304" s="12"/>
    </row>
    <row r="305">
      <c r="A305" s="17"/>
      <c r="B305" s="12"/>
    </row>
    <row r="306">
      <c r="A306" s="17"/>
      <c r="B306" s="12"/>
    </row>
    <row r="307">
      <c r="A307" s="17"/>
      <c r="B307" s="12"/>
    </row>
    <row r="308">
      <c r="A308" s="17"/>
      <c r="B308" s="12"/>
    </row>
    <row r="309">
      <c r="A309" s="17"/>
      <c r="B309" s="12"/>
    </row>
    <row r="310">
      <c r="A310" s="17"/>
      <c r="B310" s="12"/>
    </row>
    <row r="311">
      <c r="A311" s="17"/>
      <c r="B311" s="12"/>
    </row>
    <row r="312">
      <c r="A312" s="17"/>
      <c r="B312" s="12"/>
    </row>
    <row r="313">
      <c r="A313" s="17"/>
      <c r="B313" s="12"/>
    </row>
    <row r="314">
      <c r="A314" s="17"/>
      <c r="B314" s="12"/>
    </row>
    <row r="315">
      <c r="A315" s="17"/>
      <c r="B315" s="12"/>
    </row>
    <row r="316">
      <c r="A316" s="17"/>
      <c r="B316" s="12"/>
    </row>
    <row r="317">
      <c r="A317" s="17"/>
      <c r="B317" s="12"/>
    </row>
    <row r="318">
      <c r="A318" s="17"/>
      <c r="B318" s="12"/>
    </row>
    <row r="319">
      <c r="A319" s="17"/>
      <c r="B319" s="12"/>
    </row>
    <row r="320">
      <c r="A320" s="17"/>
      <c r="B320" s="12"/>
    </row>
    <row r="321">
      <c r="A321" s="17"/>
      <c r="B321" s="12"/>
    </row>
    <row r="322">
      <c r="A322" s="17"/>
      <c r="B322" s="12"/>
    </row>
    <row r="323">
      <c r="A323" s="17"/>
      <c r="B323" s="12"/>
    </row>
    <row r="324">
      <c r="A324" s="17"/>
      <c r="B324" s="12"/>
    </row>
    <row r="325">
      <c r="A325" s="17"/>
      <c r="B325" s="12"/>
    </row>
    <row r="326">
      <c r="A326" s="17"/>
      <c r="B326" s="12"/>
    </row>
    <row r="327">
      <c r="A327" s="17"/>
      <c r="B327" s="12"/>
    </row>
    <row r="328">
      <c r="A328" s="17"/>
      <c r="B328" s="12"/>
    </row>
    <row r="329">
      <c r="A329" s="17"/>
      <c r="B329" s="12"/>
    </row>
    <row r="330">
      <c r="A330" s="17"/>
      <c r="B330" s="12"/>
    </row>
    <row r="331">
      <c r="A331" s="17"/>
      <c r="B331" s="12"/>
    </row>
    <row r="332">
      <c r="A332" s="17"/>
      <c r="B332" s="12"/>
    </row>
    <row r="333">
      <c r="A333" s="17"/>
      <c r="B333" s="12"/>
    </row>
    <row r="334">
      <c r="A334" s="17"/>
      <c r="B334" s="12"/>
    </row>
    <row r="335">
      <c r="A335" s="17"/>
      <c r="B335" s="12"/>
    </row>
    <row r="336">
      <c r="A336" s="17"/>
      <c r="B336" s="12"/>
    </row>
    <row r="337">
      <c r="A337" s="17"/>
      <c r="B337" s="12"/>
    </row>
    <row r="338">
      <c r="A338" s="17"/>
      <c r="B338" s="12"/>
    </row>
    <row r="339">
      <c r="A339" s="17"/>
      <c r="B339" s="12"/>
    </row>
    <row r="340">
      <c r="A340" s="17"/>
      <c r="B340" s="12"/>
    </row>
    <row r="341">
      <c r="A341" s="17"/>
      <c r="B341" s="12"/>
    </row>
    <row r="342">
      <c r="A342" s="17"/>
      <c r="B342" s="12"/>
    </row>
    <row r="343">
      <c r="A343" s="17"/>
      <c r="B343" s="12"/>
    </row>
    <row r="344">
      <c r="A344" s="17"/>
      <c r="B344" s="12"/>
    </row>
    <row r="345">
      <c r="A345" s="17"/>
      <c r="B345" s="12"/>
    </row>
    <row r="346">
      <c r="A346" s="17"/>
      <c r="B346" s="12"/>
    </row>
    <row r="347">
      <c r="A347" s="17"/>
      <c r="B347" s="12"/>
    </row>
    <row r="348">
      <c r="A348" s="17"/>
      <c r="B348" s="12"/>
    </row>
    <row r="349">
      <c r="A349" s="17"/>
      <c r="B349" s="12"/>
    </row>
    <row r="350">
      <c r="A350" s="17"/>
      <c r="B350" s="12"/>
    </row>
    <row r="351">
      <c r="A351" s="17"/>
      <c r="B351" s="12"/>
    </row>
    <row r="352">
      <c r="A352" s="17"/>
      <c r="B352" s="12"/>
    </row>
    <row r="353">
      <c r="A353" s="17"/>
      <c r="B353" s="12"/>
    </row>
    <row r="354">
      <c r="A354" s="17"/>
      <c r="B354" s="12"/>
    </row>
    <row r="355">
      <c r="A355" s="17"/>
      <c r="B355" s="12"/>
    </row>
    <row r="356">
      <c r="A356" s="17"/>
      <c r="B356" s="12"/>
    </row>
    <row r="357">
      <c r="A357" s="17"/>
      <c r="B357" s="12"/>
    </row>
    <row r="358">
      <c r="A358" s="17"/>
      <c r="B358" s="12"/>
    </row>
    <row r="359">
      <c r="A359" s="17"/>
      <c r="B359" s="12"/>
    </row>
    <row r="360">
      <c r="A360" s="17"/>
      <c r="B360" s="12"/>
    </row>
    <row r="361">
      <c r="A361" s="17"/>
      <c r="B361" s="12"/>
    </row>
    <row r="362">
      <c r="A362" s="17"/>
      <c r="B362" s="12"/>
    </row>
    <row r="363">
      <c r="A363" s="17"/>
      <c r="B363" s="12"/>
    </row>
    <row r="364">
      <c r="A364" s="17"/>
      <c r="B364" s="12"/>
    </row>
    <row r="365">
      <c r="A365" s="17"/>
      <c r="B365" s="12"/>
    </row>
    <row r="366">
      <c r="A366" s="17"/>
      <c r="B366" s="12"/>
    </row>
    <row r="367">
      <c r="A367" s="17"/>
      <c r="B367" s="12"/>
    </row>
    <row r="368">
      <c r="A368" s="17"/>
      <c r="B368" s="12"/>
    </row>
    <row r="369">
      <c r="A369" s="17"/>
      <c r="B369" s="12"/>
    </row>
    <row r="370">
      <c r="A370" s="17"/>
      <c r="B370" s="12"/>
    </row>
    <row r="371">
      <c r="A371" s="17"/>
      <c r="B371" s="12"/>
    </row>
    <row r="372">
      <c r="A372" s="17"/>
      <c r="B372" s="12"/>
    </row>
    <row r="373">
      <c r="A373" s="17"/>
      <c r="B373" s="12"/>
    </row>
    <row r="374">
      <c r="A374" s="17"/>
      <c r="B374" s="12"/>
    </row>
    <row r="375">
      <c r="A375" s="17"/>
      <c r="B375" s="12"/>
    </row>
    <row r="376">
      <c r="A376" s="17"/>
      <c r="B376" s="12"/>
    </row>
    <row r="377">
      <c r="A377" s="17"/>
      <c r="B377" s="12"/>
    </row>
    <row r="378">
      <c r="A378" s="17"/>
      <c r="B378" s="12"/>
    </row>
    <row r="379">
      <c r="A379" s="17"/>
      <c r="B379" s="12"/>
    </row>
    <row r="380">
      <c r="A380" s="17"/>
      <c r="B380" s="12"/>
    </row>
    <row r="381">
      <c r="A381" s="17"/>
      <c r="B381" s="12"/>
    </row>
    <row r="382">
      <c r="A382" s="17"/>
      <c r="B382" s="12"/>
    </row>
    <row r="383">
      <c r="A383" s="17"/>
      <c r="B383" s="12"/>
    </row>
    <row r="384">
      <c r="A384" s="17"/>
      <c r="B384" s="12"/>
    </row>
    <row r="385">
      <c r="A385" s="17"/>
      <c r="B385" s="12"/>
    </row>
    <row r="386">
      <c r="A386" s="17"/>
      <c r="B386" s="12"/>
    </row>
    <row r="387">
      <c r="A387" s="17"/>
      <c r="B387" s="12"/>
    </row>
    <row r="388">
      <c r="A388" s="17"/>
      <c r="B388" s="12"/>
    </row>
    <row r="389">
      <c r="A389" s="17"/>
      <c r="B389" s="12"/>
    </row>
    <row r="390">
      <c r="A390" s="17"/>
      <c r="B390" s="12"/>
    </row>
    <row r="391">
      <c r="A391" s="17"/>
      <c r="B391" s="12"/>
    </row>
    <row r="392">
      <c r="A392" s="17"/>
      <c r="B392" s="12"/>
    </row>
    <row r="393">
      <c r="A393" s="17"/>
      <c r="B393" s="12"/>
    </row>
    <row r="394">
      <c r="A394" s="17"/>
      <c r="B394" s="12"/>
    </row>
    <row r="395">
      <c r="A395" s="17"/>
      <c r="B395" s="12"/>
    </row>
    <row r="396">
      <c r="A396" s="17"/>
      <c r="B396" s="12"/>
    </row>
    <row r="397">
      <c r="A397" s="17"/>
      <c r="B397" s="12"/>
    </row>
    <row r="398">
      <c r="A398" s="17"/>
      <c r="B398" s="12"/>
    </row>
    <row r="399">
      <c r="A399" s="17"/>
      <c r="B399" s="12"/>
    </row>
    <row r="400">
      <c r="A400" s="17"/>
      <c r="B400" s="12"/>
    </row>
    <row r="401">
      <c r="A401" s="17"/>
      <c r="B401" s="12"/>
    </row>
    <row r="402">
      <c r="A402" s="17"/>
      <c r="B402" s="12"/>
    </row>
    <row r="403">
      <c r="A403" s="17"/>
      <c r="B403" s="12"/>
    </row>
    <row r="404">
      <c r="A404" s="17"/>
      <c r="B404" s="12"/>
    </row>
    <row r="405">
      <c r="A405" s="17"/>
      <c r="B405" s="12"/>
    </row>
    <row r="406">
      <c r="A406" s="17"/>
      <c r="B406" s="12"/>
    </row>
    <row r="407">
      <c r="A407" s="17"/>
      <c r="B407" s="12"/>
    </row>
    <row r="408">
      <c r="A408" s="17"/>
      <c r="B408" s="12"/>
    </row>
    <row r="409">
      <c r="A409" s="17"/>
      <c r="B409" s="12"/>
    </row>
    <row r="410">
      <c r="A410" s="17"/>
      <c r="B410" s="12"/>
    </row>
    <row r="411">
      <c r="A411" s="17"/>
      <c r="B411" s="12"/>
    </row>
    <row r="412">
      <c r="A412" s="17"/>
      <c r="B412" s="12"/>
    </row>
    <row r="413">
      <c r="A413" s="17"/>
      <c r="B413" s="12"/>
    </row>
    <row r="414">
      <c r="A414" s="17"/>
      <c r="B414" s="12"/>
    </row>
    <row r="415">
      <c r="A415" s="17"/>
      <c r="B415" s="12"/>
    </row>
    <row r="416">
      <c r="A416" s="17"/>
      <c r="B416" s="12"/>
    </row>
    <row r="417">
      <c r="A417" s="17"/>
      <c r="B417" s="12"/>
    </row>
    <row r="418">
      <c r="A418" s="17"/>
      <c r="B418" s="12"/>
    </row>
    <row r="419">
      <c r="A419" s="17"/>
      <c r="B419" s="12"/>
    </row>
    <row r="420">
      <c r="A420" s="17"/>
      <c r="B420" s="12"/>
    </row>
    <row r="421">
      <c r="A421" s="17"/>
      <c r="B421" s="12"/>
    </row>
    <row r="422">
      <c r="A422" s="17"/>
      <c r="B422" s="12"/>
    </row>
    <row r="423">
      <c r="A423" s="17"/>
      <c r="B423" s="12"/>
    </row>
    <row r="424">
      <c r="A424" s="17"/>
      <c r="B424" s="12"/>
    </row>
    <row r="425">
      <c r="A425" s="17"/>
      <c r="B425" s="12"/>
    </row>
    <row r="426">
      <c r="A426" s="17"/>
      <c r="B426" s="12"/>
    </row>
    <row r="427">
      <c r="A427" s="17"/>
      <c r="B427" s="12"/>
    </row>
    <row r="428">
      <c r="A428" s="17"/>
      <c r="B428" s="12"/>
    </row>
    <row r="429">
      <c r="A429" s="17"/>
      <c r="B429" s="12"/>
    </row>
    <row r="430">
      <c r="A430" s="17"/>
      <c r="B430" s="12"/>
    </row>
    <row r="431">
      <c r="A431" s="17"/>
      <c r="B431" s="12"/>
    </row>
    <row r="432">
      <c r="A432" s="17"/>
      <c r="B432" s="12"/>
    </row>
    <row r="433">
      <c r="A433" s="17"/>
      <c r="B433" s="12"/>
    </row>
    <row r="434">
      <c r="A434" s="17"/>
      <c r="B434" s="12"/>
    </row>
    <row r="435">
      <c r="A435" s="17"/>
      <c r="B435" s="12"/>
    </row>
    <row r="436">
      <c r="A436" s="17"/>
      <c r="B436" s="12"/>
    </row>
    <row r="437">
      <c r="A437" s="17"/>
      <c r="B437" s="12"/>
    </row>
    <row r="438">
      <c r="A438" s="17"/>
      <c r="B438" s="12"/>
    </row>
    <row r="439">
      <c r="A439" s="17"/>
      <c r="B439" s="12"/>
    </row>
    <row r="440">
      <c r="A440" s="17"/>
      <c r="B440" s="12"/>
    </row>
    <row r="441">
      <c r="A441" s="17"/>
      <c r="B441" s="12"/>
    </row>
    <row r="442">
      <c r="A442" s="17"/>
      <c r="B442" s="12"/>
    </row>
    <row r="443">
      <c r="A443" s="17"/>
      <c r="B443" s="12"/>
    </row>
    <row r="444">
      <c r="A444" s="17"/>
      <c r="B444" s="12"/>
    </row>
    <row r="445">
      <c r="A445" s="17"/>
      <c r="B445" s="12"/>
    </row>
    <row r="446">
      <c r="A446" s="17"/>
      <c r="B446" s="12"/>
    </row>
    <row r="447">
      <c r="A447" s="17"/>
      <c r="B447" s="12"/>
    </row>
    <row r="448">
      <c r="A448" s="17"/>
      <c r="B448" s="12"/>
    </row>
    <row r="449">
      <c r="A449" s="17"/>
      <c r="B449" s="12"/>
    </row>
    <row r="450">
      <c r="A450" s="17"/>
      <c r="B450" s="12"/>
    </row>
    <row r="451">
      <c r="A451" s="17"/>
      <c r="B451" s="12"/>
    </row>
    <row r="452">
      <c r="A452" s="17"/>
      <c r="B452" s="12"/>
    </row>
    <row r="453">
      <c r="A453" s="17"/>
      <c r="B453" s="12"/>
    </row>
    <row r="454">
      <c r="A454" s="17"/>
      <c r="B454" s="12"/>
    </row>
    <row r="455">
      <c r="A455" s="17"/>
      <c r="B455" s="12"/>
    </row>
    <row r="456">
      <c r="A456" s="17"/>
      <c r="B456" s="12"/>
    </row>
    <row r="457">
      <c r="A457" s="17"/>
      <c r="B457" s="12"/>
    </row>
    <row r="458">
      <c r="A458" s="17"/>
      <c r="B458" s="12"/>
    </row>
    <row r="459">
      <c r="A459" s="17"/>
      <c r="B459" s="12"/>
    </row>
    <row r="460">
      <c r="A460" s="17"/>
      <c r="B460" s="12"/>
    </row>
    <row r="461">
      <c r="A461" s="17"/>
      <c r="B461" s="12"/>
    </row>
    <row r="462">
      <c r="A462" s="17"/>
      <c r="B462" s="12"/>
    </row>
    <row r="463">
      <c r="A463" s="17"/>
      <c r="B463" s="12"/>
    </row>
    <row r="464">
      <c r="A464" s="17"/>
      <c r="B464" s="12"/>
    </row>
    <row r="465">
      <c r="A465" s="17"/>
      <c r="B465" s="12"/>
    </row>
    <row r="466">
      <c r="A466" s="17"/>
      <c r="B466" s="12"/>
    </row>
    <row r="467">
      <c r="A467" s="17"/>
      <c r="B467" s="12"/>
    </row>
    <row r="468">
      <c r="A468" s="17"/>
      <c r="B468" s="12"/>
    </row>
    <row r="469">
      <c r="A469" s="17"/>
      <c r="B469" s="12"/>
    </row>
    <row r="470">
      <c r="A470" s="17"/>
      <c r="B470" s="12"/>
    </row>
    <row r="471">
      <c r="A471" s="17"/>
      <c r="B471" s="12"/>
    </row>
    <row r="472">
      <c r="A472" s="17"/>
      <c r="B472" s="12"/>
    </row>
    <row r="473">
      <c r="A473" s="17"/>
      <c r="B473" s="12"/>
    </row>
    <row r="474">
      <c r="A474" s="17"/>
      <c r="B474" s="12"/>
    </row>
    <row r="475">
      <c r="A475" s="17"/>
      <c r="B475" s="12"/>
    </row>
    <row r="476">
      <c r="A476" s="17"/>
      <c r="B476" s="12"/>
    </row>
    <row r="477">
      <c r="A477" s="17"/>
      <c r="B477" s="12"/>
    </row>
    <row r="478">
      <c r="A478" s="17"/>
      <c r="B478" s="12"/>
    </row>
    <row r="479">
      <c r="A479" s="17"/>
      <c r="B479" s="12"/>
    </row>
    <row r="480">
      <c r="A480" s="17"/>
      <c r="B480" s="12"/>
    </row>
    <row r="481">
      <c r="A481" s="17"/>
      <c r="B481" s="12"/>
    </row>
    <row r="482">
      <c r="A482" s="17"/>
      <c r="B482" s="12"/>
    </row>
    <row r="483">
      <c r="A483" s="17"/>
      <c r="B483" s="12"/>
    </row>
    <row r="484">
      <c r="A484" s="17"/>
      <c r="B484" s="12"/>
    </row>
    <row r="485">
      <c r="A485" s="17"/>
      <c r="B485" s="12"/>
    </row>
    <row r="486">
      <c r="A486" s="17"/>
      <c r="B486" s="12"/>
    </row>
    <row r="487">
      <c r="A487" s="17"/>
      <c r="B487" s="12"/>
    </row>
    <row r="488">
      <c r="A488" s="17"/>
      <c r="B488" s="12"/>
    </row>
    <row r="489">
      <c r="A489" s="17"/>
      <c r="B489" s="12"/>
    </row>
    <row r="490">
      <c r="A490" s="17"/>
      <c r="B490" s="12"/>
    </row>
    <row r="491">
      <c r="A491" s="17"/>
      <c r="B491" s="12"/>
    </row>
    <row r="492">
      <c r="A492" s="17"/>
      <c r="B492" s="12"/>
    </row>
    <row r="493">
      <c r="A493" s="17"/>
      <c r="B493" s="12"/>
    </row>
    <row r="494">
      <c r="A494" s="17"/>
      <c r="B494" s="12"/>
    </row>
    <row r="495">
      <c r="A495" s="17"/>
      <c r="B495" s="12"/>
    </row>
    <row r="496">
      <c r="A496" s="17"/>
      <c r="B496" s="12"/>
    </row>
    <row r="497">
      <c r="A497" s="17"/>
      <c r="B497" s="12"/>
    </row>
    <row r="498">
      <c r="A498" s="17"/>
      <c r="B498" s="12"/>
    </row>
    <row r="499">
      <c r="A499" s="17"/>
      <c r="B499" s="12"/>
    </row>
    <row r="500">
      <c r="A500" s="17"/>
      <c r="B500" s="12"/>
    </row>
    <row r="501">
      <c r="A501" s="17"/>
      <c r="B501" s="12"/>
    </row>
    <row r="502">
      <c r="A502" s="17"/>
      <c r="B502" s="12"/>
    </row>
    <row r="503">
      <c r="A503" s="17"/>
      <c r="B503" s="12"/>
    </row>
    <row r="504">
      <c r="A504" s="17"/>
      <c r="B504" s="12"/>
    </row>
    <row r="505">
      <c r="A505" s="17"/>
      <c r="B505" s="12"/>
    </row>
    <row r="506">
      <c r="A506" s="17"/>
      <c r="B506" s="12"/>
    </row>
    <row r="507">
      <c r="A507" s="17"/>
      <c r="B507" s="12"/>
    </row>
    <row r="508">
      <c r="A508" s="17"/>
      <c r="B508" s="12"/>
    </row>
    <row r="509">
      <c r="A509" s="17"/>
      <c r="B509" s="12"/>
    </row>
    <row r="510">
      <c r="A510" s="17"/>
      <c r="B510" s="12"/>
    </row>
    <row r="511">
      <c r="A511" s="17"/>
      <c r="B511" s="12"/>
    </row>
    <row r="512">
      <c r="A512" s="17"/>
      <c r="B512" s="12"/>
    </row>
    <row r="513">
      <c r="A513" s="17"/>
      <c r="B513" s="12"/>
    </row>
    <row r="514">
      <c r="A514" s="17"/>
      <c r="B514" s="12"/>
    </row>
    <row r="515">
      <c r="A515" s="17"/>
      <c r="B515" s="12"/>
    </row>
    <row r="516">
      <c r="A516" s="17"/>
      <c r="B516" s="12"/>
    </row>
    <row r="517">
      <c r="A517" s="17"/>
      <c r="B517" s="12"/>
    </row>
    <row r="518">
      <c r="A518" s="17"/>
      <c r="B518" s="12"/>
    </row>
    <row r="519">
      <c r="A519" s="17"/>
      <c r="B519" s="12"/>
    </row>
    <row r="520">
      <c r="A520" s="17"/>
      <c r="B520" s="12"/>
    </row>
    <row r="521">
      <c r="A521" s="17"/>
      <c r="B521" s="12"/>
    </row>
    <row r="522">
      <c r="A522" s="17"/>
      <c r="B522" s="12"/>
    </row>
    <row r="523">
      <c r="A523" s="17"/>
      <c r="B523" s="12"/>
    </row>
    <row r="524">
      <c r="A524" s="17"/>
      <c r="B524" s="12"/>
    </row>
    <row r="525">
      <c r="A525" s="17"/>
      <c r="B525" s="12"/>
    </row>
    <row r="526">
      <c r="A526" s="17"/>
      <c r="B526" s="12"/>
    </row>
    <row r="527">
      <c r="A527" s="17"/>
      <c r="B527" s="12"/>
    </row>
    <row r="528">
      <c r="A528" s="17"/>
      <c r="B528" s="12"/>
    </row>
    <row r="529">
      <c r="A529" s="17"/>
      <c r="B529" s="12"/>
    </row>
    <row r="530">
      <c r="A530" s="17"/>
      <c r="B530" s="12"/>
    </row>
    <row r="531">
      <c r="A531" s="17"/>
      <c r="B531" s="12"/>
    </row>
    <row r="532">
      <c r="A532" s="17"/>
      <c r="B532" s="12"/>
    </row>
    <row r="533">
      <c r="A533" s="17"/>
      <c r="B533" s="12"/>
    </row>
    <row r="534">
      <c r="A534" s="17"/>
      <c r="B534" s="12"/>
    </row>
    <row r="535">
      <c r="A535" s="17"/>
      <c r="B535" s="12"/>
    </row>
    <row r="536">
      <c r="A536" s="17"/>
      <c r="B536" s="12"/>
    </row>
    <row r="537">
      <c r="A537" s="17"/>
      <c r="B537" s="12"/>
    </row>
    <row r="538">
      <c r="A538" s="17"/>
      <c r="B538" s="12"/>
    </row>
    <row r="539">
      <c r="A539" s="17"/>
      <c r="B539" s="12"/>
    </row>
    <row r="540">
      <c r="A540" s="17"/>
      <c r="B540" s="12"/>
    </row>
    <row r="541">
      <c r="A541" s="17"/>
      <c r="B541" s="12"/>
    </row>
    <row r="542">
      <c r="A542" s="17"/>
      <c r="B542" s="12"/>
    </row>
    <row r="543">
      <c r="A543" s="17"/>
      <c r="B543" s="12"/>
    </row>
    <row r="544">
      <c r="A544" s="17"/>
      <c r="B544" s="12"/>
    </row>
    <row r="545">
      <c r="A545" s="17"/>
      <c r="B545" s="12"/>
    </row>
    <row r="546">
      <c r="A546" s="17"/>
      <c r="B546" s="12"/>
    </row>
    <row r="547">
      <c r="A547" s="17"/>
      <c r="B547" s="12"/>
    </row>
    <row r="548">
      <c r="A548" s="17"/>
      <c r="B548" s="12"/>
    </row>
    <row r="549">
      <c r="A549" s="17"/>
      <c r="B549" s="12"/>
    </row>
    <row r="550">
      <c r="A550" s="17"/>
      <c r="B550" s="12"/>
    </row>
    <row r="551">
      <c r="A551" s="17"/>
      <c r="B551" s="12"/>
    </row>
    <row r="552">
      <c r="A552" s="17"/>
      <c r="B552" s="12"/>
    </row>
    <row r="553">
      <c r="A553" s="17"/>
      <c r="B553" s="12"/>
    </row>
    <row r="554">
      <c r="A554" s="17"/>
      <c r="B554" s="12"/>
    </row>
    <row r="555">
      <c r="A555" s="17"/>
      <c r="B555" s="12"/>
    </row>
    <row r="556">
      <c r="A556" s="17"/>
      <c r="B556" s="12"/>
    </row>
    <row r="557">
      <c r="A557" s="17"/>
      <c r="B557" s="12"/>
    </row>
    <row r="558">
      <c r="A558" s="17"/>
      <c r="B558" s="12"/>
    </row>
    <row r="559">
      <c r="A559" s="17"/>
      <c r="B559" s="12"/>
    </row>
    <row r="560">
      <c r="A560" s="17"/>
      <c r="B560" s="12"/>
    </row>
    <row r="561">
      <c r="A561" s="17"/>
      <c r="B561" s="12"/>
    </row>
    <row r="562">
      <c r="A562" s="17"/>
      <c r="B562" s="12"/>
    </row>
    <row r="563">
      <c r="A563" s="17"/>
      <c r="B563" s="12"/>
    </row>
    <row r="564">
      <c r="A564" s="17"/>
      <c r="B564" s="12"/>
    </row>
    <row r="565">
      <c r="A565" s="17"/>
      <c r="B565" s="12"/>
    </row>
    <row r="566">
      <c r="A566" s="17"/>
      <c r="B566" s="12"/>
    </row>
    <row r="567">
      <c r="A567" s="17"/>
      <c r="B567" s="12"/>
    </row>
    <row r="568">
      <c r="A568" s="17"/>
      <c r="B568" s="12"/>
    </row>
    <row r="569">
      <c r="A569" s="17"/>
      <c r="B569" s="12"/>
    </row>
    <row r="570">
      <c r="A570" s="17"/>
      <c r="B570" s="12"/>
    </row>
    <row r="571">
      <c r="A571" s="17"/>
      <c r="B571" s="12"/>
    </row>
    <row r="572">
      <c r="A572" s="17"/>
      <c r="B572" s="12"/>
    </row>
    <row r="573">
      <c r="A573" s="17"/>
      <c r="B573" s="12"/>
    </row>
    <row r="574">
      <c r="A574" s="17"/>
      <c r="B574" s="12"/>
    </row>
    <row r="575">
      <c r="A575" s="17"/>
      <c r="B575" s="12"/>
    </row>
    <row r="576">
      <c r="A576" s="17"/>
      <c r="B576" s="12"/>
    </row>
    <row r="577">
      <c r="A577" s="17"/>
      <c r="B577" s="12"/>
    </row>
    <row r="578">
      <c r="A578" s="17"/>
      <c r="B578" s="12"/>
    </row>
    <row r="579">
      <c r="A579" s="17"/>
      <c r="B579" s="12"/>
    </row>
    <row r="580">
      <c r="A580" s="17"/>
      <c r="B580" s="12"/>
    </row>
    <row r="581">
      <c r="A581" s="17"/>
      <c r="B581" s="12"/>
    </row>
    <row r="582">
      <c r="A582" s="17"/>
      <c r="B582" s="12"/>
    </row>
    <row r="583">
      <c r="A583" s="17"/>
      <c r="B583" s="12"/>
    </row>
    <row r="584">
      <c r="A584" s="17"/>
      <c r="B584" s="12"/>
    </row>
    <row r="585">
      <c r="A585" s="17"/>
      <c r="B585" s="12"/>
    </row>
    <row r="586">
      <c r="A586" s="17"/>
      <c r="B586" s="12"/>
    </row>
    <row r="587">
      <c r="A587" s="17"/>
      <c r="B587" s="12"/>
    </row>
    <row r="588">
      <c r="A588" s="17"/>
      <c r="B588" s="12"/>
    </row>
    <row r="589">
      <c r="A589" s="17"/>
      <c r="B589" s="12"/>
    </row>
    <row r="590">
      <c r="A590" s="17"/>
      <c r="B590" s="12"/>
    </row>
    <row r="591">
      <c r="A591" s="17"/>
      <c r="B591" s="12"/>
    </row>
    <row r="592">
      <c r="A592" s="17"/>
      <c r="B592" s="12"/>
    </row>
    <row r="593">
      <c r="A593" s="17"/>
      <c r="B593" s="12"/>
    </row>
    <row r="594">
      <c r="A594" s="17"/>
      <c r="B594" s="12"/>
    </row>
    <row r="595">
      <c r="A595" s="17"/>
      <c r="B595" s="12"/>
    </row>
    <row r="596">
      <c r="A596" s="17"/>
      <c r="B596" s="12"/>
    </row>
    <row r="597">
      <c r="A597" s="17"/>
      <c r="B597" s="12"/>
    </row>
    <row r="598">
      <c r="A598" s="17"/>
      <c r="B598" s="12"/>
    </row>
    <row r="599">
      <c r="A599" s="17"/>
      <c r="B599" s="12"/>
    </row>
    <row r="600">
      <c r="A600" s="17"/>
      <c r="B600" s="12"/>
    </row>
    <row r="601">
      <c r="A601" s="17"/>
      <c r="B601" s="12"/>
    </row>
    <row r="602">
      <c r="A602" s="17"/>
      <c r="B602" s="12"/>
    </row>
    <row r="603">
      <c r="A603" s="17"/>
      <c r="B603" s="12"/>
    </row>
    <row r="604">
      <c r="A604" s="17"/>
      <c r="B604" s="12"/>
    </row>
    <row r="605">
      <c r="A605" s="17"/>
      <c r="B605" s="12"/>
    </row>
    <row r="606">
      <c r="A606" s="17"/>
      <c r="B606" s="12"/>
    </row>
    <row r="607">
      <c r="A607" s="17"/>
      <c r="B607" s="12"/>
    </row>
    <row r="608">
      <c r="A608" s="17"/>
      <c r="B608" s="12"/>
    </row>
    <row r="609">
      <c r="A609" s="17"/>
      <c r="B609" s="12"/>
    </row>
    <row r="610">
      <c r="A610" s="17"/>
      <c r="B610" s="12"/>
    </row>
    <row r="611">
      <c r="A611" s="17"/>
      <c r="B611" s="12"/>
    </row>
    <row r="612">
      <c r="A612" s="17"/>
      <c r="B612" s="12"/>
    </row>
    <row r="613">
      <c r="A613" s="17"/>
      <c r="B613" s="12"/>
    </row>
    <row r="614">
      <c r="A614" s="17"/>
      <c r="B614" s="12"/>
    </row>
    <row r="615">
      <c r="A615" s="17"/>
      <c r="B615" s="12"/>
    </row>
    <row r="616">
      <c r="A616" s="17"/>
      <c r="B616" s="12"/>
    </row>
    <row r="617">
      <c r="A617" s="17"/>
      <c r="B617" s="12"/>
    </row>
    <row r="618">
      <c r="A618" s="17"/>
      <c r="B618" s="12"/>
    </row>
    <row r="619">
      <c r="A619" s="17"/>
      <c r="B619" s="12"/>
    </row>
    <row r="620">
      <c r="A620" s="17"/>
      <c r="B620" s="12"/>
    </row>
    <row r="621">
      <c r="A621" s="17"/>
      <c r="B621" s="12"/>
    </row>
    <row r="622">
      <c r="A622" s="17"/>
      <c r="B622" s="12"/>
    </row>
    <row r="623">
      <c r="A623" s="17"/>
      <c r="B623" s="12"/>
    </row>
    <row r="624">
      <c r="A624" s="17"/>
      <c r="B624" s="12"/>
    </row>
    <row r="625">
      <c r="A625" s="17"/>
      <c r="B625" s="12"/>
    </row>
    <row r="626">
      <c r="A626" s="17"/>
      <c r="B626" s="12"/>
    </row>
    <row r="627">
      <c r="A627" s="17"/>
      <c r="B627" s="12"/>
    </row>
    <row r="628">
      <c r="A628" s="17"/>
      <c r="B628" s="12"/>
    </row>
    <row r="629">
      <c r="A629" s="17"/>
      <c r="B629" s="12"/>
    </row>
    <row r="630">
      <c r="A630" s="17"/>
      <c r="B630" s="12"/>
    </row>
    <row r="631">
      <c r="A631" s="17"/>
      <c r="B631" s="12"/>
    </row>
    <row r="632">
      <c r="A632" s="17"/>
      <c r="B632" s="12"/>
    </row>
    <row r="633">
      <c r="A633" s="17"/>
      <c r="B633" s="12"/>
    </row>
    <row r="634">
      <c r="A634" s="17"/>
      <c r="B634" s="12"/>
    </row>
    <row r="635">
      <c r="A635" s="17"/>
      <c r="B635" s="12"/>
    </row>
    <row r="636">
      <c r="A636" s="17"/>
      <c r="B636" s="12"/>
    </row>
    <row r="637">
      <c r="A637" s="17"/>
      <c r="B637" s="12"/>
    </row>
    <row r="638">
      <c r="A638" s="17"/>
      <c r="B638" s="12"/>
    </row>
    <row r="639">
      <c r="A639" s="17"/>
      <c r="B639" s="12"/>
    </row>
    <row r="640">
      <c r="A640" s="17"/>
      <c r="B640" s="12"/>
    </row>
    <row r="641">
      <c r="A641" s="17"/>
      <c r="B641" s="12"/>
    </row>
    <row r="642">
      <c r="A642" s="17"/>
      <c r="B642" s="12"/>
    </row>
    <row r="643">
      <c r="A643" s="17"/>
      <c r="B643" s="12"/>
    </row>
    <row r="644">
      <c r="A644" s="17"/>
      <c r="B644" s="12"/>
    </row>
    <row r="645">
      <c r="A645" s="17"/>
      <c r="B645" s="12"/>
    </row>
    <row r="646">
      <c r="A646" s="17"/>
      <c r="B646" s="12"/>
    </row>
    <row r="647">
      <c r="A647" s="17"/>
      <c r="B647" s="12"/>
    </row>
    <row r="648">
      <c r="A648" s="17"/>
      <c r="B648" s="12"/>
    </row>
    <row r="649">
      <c r="A649" s="17"/>
      <c r="B649" s="12"/>
    </row>
    <row r="650">
      <c r="A650" s="17"/>
      <c r="B650" s="12"/>
    </row>
    <row r="651">
      <c r="A651" s="17"/>
      <c r="B651" s="12"/>
    </row>
    <row r="652">
      <c r="A652" s="17"/>
      <c r="B652" s="12"/>
    </row>
    <row r="653">
      <c r="A653" s="17"/>
      <c r="B653" s="12"/>
    </row>
    <row r="654">
      <c r="A654" s="17"/>
      <c r="B654" s="12"/>
    </row>
    <row r="655">
      <c r="A655" s="17"/>
      <c r="B655" s="12"/>
    </row>
    <row r="656">
      <c r="A656" s="17"/>
      <c r="B656" s="12"/>
    </row>
    <row r="657">
      <c r="A657" s="17"/>
      <c r="B657" s="12"/>
    </row>
    <row r="658">
      <c r="A658" s="17"/>
      <c r="B658" s="12"/>
    </row>
    <row r="659">
      <c r="A659" s="17"/>
      <c r="B659" s="12"/>
    </row>
    <row r="660">
      <c r="A660" s="17"/>
      <c r="B660" s="12"/>
    </row>
    <row r="661">
      <c r="A661" s="17"/>
      <c r="B661" s="12"/>
    </row>
    <row r="662">
      <c r="A662" s="17"/>
      <c r="B662" s="12"/>
    </row>
    <row r="663">
      <c r="A663" s="17"/>
      <c r="B663" s="12"/>
    </row>
    <row r="664">
      <c r="A664" s="17"/>
      <c r="B664" s="12"/>
    </row>
    <row r="665">
      <c r="A665" s="17"/>
      <c r="B665" s="12"/>
    </row>
    <row r="666">
      <c r="A666" s="17"/>
      <c r="B666" s="12"/>
    </row>
    <row r="667">
      <c r="A667" s="17"/>
      <c r="B667" s="12"/>
    </row>
    <row r="668">
      <c r="A668" s="17"/>
      <c r="B668" s="12"/>
    </row>
    <row r="669">
      <c r="A669" s="17"/>
      <c r="B669" s="12"/>
    </row>
    <row r="670">
      <c r="A670" s="17"/>
      <c r="B670" s="12"/>
    </row>
    <row r="671">
      <c r="A671" s="17"/>
      <c r="B671" s="12"/>
    </row>
    <row r="672">
      <c r="A672" s="17"/>
      <c r="B672" s="12"/>
    </row>
    <row r="673">
      <c r="A673" s="17"/>
      <c r="B673" s="12"/>
    </row>
    <row r="674">
      <c r="A674" s="17"/>
      <c r="B674" s="12"/>
    </row>
    <row r="675">
      <c r="A675" s="17"/>
      <c r="B675" s="12"/>
    </row>
    <row r="676">
      <c r="A676" s="17"/>
      <c r="B676" s="12"/>
    </row>
    <row r="677">
      <c r="A677" s="17"/>
      <c r="B677" s="12"/>
    </row>
    <row r="678">
      <c r="A678" s="17"/>
      <c r="B678" s="12"/>
    </row>
    <row r="679">
      <c r="A679" s="17"/>
      <c r="B679" s="12"/>
    </row>
    <row r="680">
      <c r="A680" s="17"/>
      <c r="B680" s="12"/>
    </row>
    <row r="681">
      <c r="A681" s="17"/>
      <c r="B681" s="12"/>
    </row>
    <row r="682">
      <c r="A682" s="17"/>
      <c r="B682" s="12"/>
    </row>
    <row r="683">
      <c r="A683" s="17"/>
      <c r="B683" s="12"/>
    </row>
    <row r="684">
      <c r="A684" s="17"/>
      <c r="B684" s="12"/>
    </row>
    <row r="685">
      <c r="A685" s="17"/>
      <c r="B685" s="12"/>
    </row>
    <row r="686">
      <c r="A686" s="17"/>
      <c r="B686" s="12"/>
    </row>
    <row r="687">
      <c r="A687" s="17"/>
      <c r="B687" s="12"/>
    </row>
    <row r="688">
      <c r="A688" s="17"/>
      <c r="B688" s="12"/>
    </row>
    <row r="689">
      <c r="A689" s="17"/>
      <c r="B689" s="12"/>
    </row>
    <row r="690">
      <c r="A690" s="17"/>
      <c r="B690" s="12"/>
    </row>
    <row r="691">
      <c r="A691" s="17"/>
      <c r="B691" s="12"/>
    </row>
    <row r="692">
      <c r="A692" s="17"/>
      <c r="B692" s="12"/>
    </row>
    <row r="693">
      <c r="A693" s="17"/>
      <c r="B693" s="12"/>
    </row>
    <row r="694">
      <c r="A694" s="17"/>
      <c r="B694" s="12"/>
    </row>
    <row r="695">
      <c r="A695" s="17"/>
      <c r="B695" s="12"/>
    </row>
    <row r="696">
      <c r="A696" s="17"/>
      <c r="B696" s="12"/>
    </row>
    <row r="697">
      <c r="A697" s="17"/>
      <c r="B697" s="12"/>
    </row>
    <row r="698">
      <c r="A698" s="17"/>
      <c r="B698" s="12"/>
    </row>
    <row r="699">
      <c r="A699" s="17"/>
      <c r="B699" s="12"/>
    </row>
    <row r="700">
      <c r="A700" s="17"/>
      <c r="B700" s="12"/>
    </row>
    <row r="701">
      <c r="A701" s="17"/>
      <c r="B701" s="12"/>
    </row>
    <row r="702">
      <c r="A702" s="17"/>
      <c r="B702" s="12"/>
    </row>
    <row r="703">
      <c r="A703" s="17"/>
      <c r="B703" s="12"/>
    </row>
    <row r="704">
      <c r="A704" s="17"/>
      <c r="B704" s="12"/>
    </row>
    <row r="705">
      <c r="A705" s="17"/>
      <c r="B705" s="12"/>
    </row>
    <row r="706">
      <c r="A706" s="17"/>
      <c r="B706" s="12"/>
    </row>
    <row r="707">
      <c r="A707" s="17"/>
      <c r="B707" s="12"/>
    </row>
    <row r="708">
      <c r="A708" s="17"/>
      <c r="B708" s="12"/>
    </row>
    <row r="709">
      <c r="A709" s="17"/>
      <c r="B709" s="12"/>
    </row>
    <row r="710">
      <c r="A710" s="17"/>
      <c r="B710" s="12"/>
    </row>
    <row r="711">
      <c r="A711" s="17"/>
      <c r="B711" s="12"/>
    </row>
    <row r="712">
      <c r="A712" s="17"/>
      <c r="B712" s="12"/>
    </row>
    <row r="713">
      <c r="A713" s="17"/>
      <c r="B713" s="12"/>
    </row>
    <row r="714">
      <c r="A714" s="17"/>
      <c r="B714" s="12"/>
    </row>
    <row r="715">
      <c r="A715" s="17"/>
      <c r="B715" s="12"/>
    </row>
    <row r="716">
      <c r="A716" s="17"/>
      <c r="B716" s="12"/>
    </row>
    <row r="717">
      <c r="A717" s="17"/>
      <c r="B717" s="12"/>
    </row>
    <row r="718">
      <c r="A718" s="17"/>
      <c r="B718" s="12"/>
    </row>
    <row r="719">
      <c r="A719" s="17"/>
      <c r="B719" s="12"/>
    </row>
    <row r="720">
      <c r="A720" s="17"/>
      <c r="B720" s="12"/>
    </row>
    <row r="721">
      <c r="A721" s="17"/>
      <c r="B721" s="12"/>
    </row>
    <row r="722">
      <c r="A722" s="17"/>
      <c r="B722" s="12"/>
    </row>
    <row r="723">
      <c r="A723" s="17"/>
      <c r="B723" s="12"/>
    </row>
    <row r="724">
      <c r="A724" s="17"/>
      <c r="B724" s="12"/>
    </row>
    <row r="725">
      <c r="A725" s="17"/>
      <c r="B725" s="12"/>
    </row>
    <row r="726">
      <c r="A726" s="17"/>
      <c r="B726" s="12"/>
    </row>
    <row r="727">
      <c r="A727" s="17"/>
      <c r="B727" s="12"/>
    </row>
    <row r="728">
      <c r="A728" s="17"/>
      <c r="B728" s="12"/>
    </row>
    <row r="729">
      <c r="A729" s="17"/>
      <c r="B729" s="12"/>
    </row>
    <row r="730">
      <c r="A730" s="17"/>
      <c r="B730" s="12"/>
    </row>
    <row r="731">
      <c r="A731" s="17"/>
      <c r="B731" s="12"/>
    </row>
    <row r="732">
      <c r="A732" s="17"/>
      <c r="B732" s="12"/>
    </row>
    <row r="733">
      <c r="A733" s="17"/>
      <c r="B733" s="12"/>
    </row>
    <row r="734">
      <c r="A734" s="17"/>
      <c r="B734" s="12"/>
    </row>
    <row r="735">
      <c r="A735" s="17"/>
      <c r="B735" s="12"/>
    </row>
    <row r="736">
      <c r="A736" s="17"/>
      <c r="B736" s="12"/>
    </row>
    <row r="737">
      <c r="A737" s="17"/>
      <c r="B737" s="12"/>
    </row>
    <row r="738">
      <c r="A738" s="17"/>
      <c r="B738" s="12"/>
    </row>
    <row r="739">
      <c r="A739" s="17"/>
      <c r="B739" s="12"/>
    </row>
    <row r="740">
      <c r="A740" s="17"/>
      <c r="B740" s="12"/>
    </row>
    <row r="741">
      <c r="A741" s="17"/>
      <c r="B741" s="12"/>
    </row>
    <row r="742">
      <c r="A742" s="17"/>
      <c r="B742" s="12"/>
    </row>
    <row r="743">
      <c r="A743" s="17"/>
      <c r="B743" s="12"/>
    </row>
    <row r="744">
      <c r="A744" s="17"/>
      <c r="B744" s="12"/>
    </row>
    <row r="745">
      <c r="A745" s="17"/>
      <c r="B745" s="12"/>
    </row>
    <row r="746">
      <c r="A746" s="17"/>
      <c r="B746" s="12"/>
    </row>
    <row r="747">
      <c r="A747" s="17"/>
      <c r="B747" s="12"/>
    </row>
    <row r="748">
      <c r="A748" s="17"/>
      <c r="B748" s="12"/>
    </row>
    <row r="749">
      <c r="A749" s="17"/>
      <c r="B749" s="12"/>
    </row>
    <row r="750">
      <c r="A750" s="17"/>
      <c r="B750" s="12"/>
    </row>
    <row r="751">
      <c r="A751" s="17"/>
      <c r="B751" s="12"/>
    </row>
    <row r="752">
      <c r="A752" s="17"/>
      <c r="B752" s="12"/>
    </row>
    <row r="753">
      <c r="A753" s="17"/>
      <c r="B753" s="12"/>
    </row>
    <row r="754">
      <c r="A754" s="17"/>
      <c r="B754" s="12"/>
    </row>
    <row r="755">
      <c r="A755" s="17"/>
      <c r="B755" s="12"/>
    </row>
    <row r="756">
      <c r="A756" s="17"/>
      <c r="B756" s="12"/>
    </row>
    <row r="757">
      <c r="A757" s="17"/>
      <c r="B757" s="12"/>
    </row>
    <row r="758">
      <c r="A758" s="17"/>
      <c r="B758" s="12"/>
    </row>
    <row r="759">
      <c r="A759" s="17"/>
      <c r="B759" s="12"/>
    </row>
    <row r="760">
      <c r="A760" s="17"/>
      <c r="B760" s="12"/>
    </row>
    <row r="761">
      <c r="A761" s="17"/>
      <c r="B761" s="12"/>
    </row>
    <row r="762">
      <c r="A762" s="17"/>
      <c r="B762" s="12"/>
    </row>
    <row r="763">
      <c r="A763" s="17"/>
      <c r="B763" s="12"/>
    </row>
    <row r="764">
      <c r="A764" s="17"/>
      <c r="B764" s="12"/>
    </row>
    <row r="765">
      <c r="A765" s="17"/>
      <c r="B765" s="12"/>
    </row>
    <row r="766">
      <c r="A766" s="17"/>
      <c r="B766" s="12"/>
    </row>
    <row r="767">
      <c r="A767" s="17"/>
      <c r="B767" s="12"/>
    </row>
    <row r="768">
      <c r="A768" s="17"/>
      <c r="B768" s="12"/>
    </row>
    <row r="769">
      <c r="A769" s="17"/>
      <c r="B769" s="12"/>
    </row>
    <row r="770">
      <c r="A770" s="17"/>
      <c r="B770" s="12"/>
    </row>
    <row r="771">
      <c r="A771" s="17"/>
      <c r="B771" s="12"/>
    </row>
    <row r="772">
      <c r="A772" s="17"/>
      <c r="B772" s="12"/>
    </row>
    <row r="773">
      <c r="A773" s="17"/>
      <c r="B773" s="12"/>
    </row>
    <row r="774">
      <c r="A774" s="17"/>
      <c r="B774" s="12"/>
    </row>
    <row r="775">
      <c r="A775" s="17"/>
      <c r="B775" s="12"/>
    </row>
    <row r="776">
      <c r="A776" s="17"/>
      <c r="B776" s="12"/>
    </row>
    <row r="777">
      <c r="A777" s="17"/>
      <c r="B777" s="12"/>
    </row>
    <row r="778">
      <c r="A778" s="17"/>
      <c r="B778" s="12"/>
    </row>
    <row r="779">
      <c r="A779" s="17"/>
      <c r="B779" s="12"/>
    </row>
    <row r="780">
      <c r="A780" s="17"/>
      <c r="B780" s="12"/>
    </row>
    <row r="781">
      <c r="A781" s="17"/>
      <c r="B781" s="12"/>
    </row>
    <row r="782">
      <c r="A782" s="17"/>
      <c r="B782" s="12"/>
    </row>
    <row r="783">
      <c r="A783" s="17"/>
      <c r="B783" s="12"/>
    </row>
    <row r="784">
      <c r="A784" s="17"/>
      <c r="B784" s="12"/>
    </row>
    <row r="785">
      <c r="A785" s="17"/>
      <c r="B785" s="12"/>
    </row>
    <row r="786">
      <c r="A786" s="17"/>
      <c r="B786" s="12"/>
    </row>
    <row r="787">
      <c r="A787" s="17"/>
      <c r="B787" s="12"/>
    </row>
    <row r="788">
      <c r="A788" s="17"/>
      <c r="B788" s="12"/>
    </row>
    <row r="789">
      <c r="A789" s="17"/>
      <c r="B789" s="12"/>
    </row>
    <row r="790">
      <c r="A790" s="17"/>
      <c r="B790" s="12"/>
    </row>
    <row r="791">
      <c r="A791" s="17"/>
      <c r="B791" s="12"/>
    </row>
    <row r="792">
      <c r="A792" s="17"/>
      <c r="B792" s="12"/>
    </row>
    <row r="793">
      <c r="A793" s="17"/>
      <c r="B793" s="12"/>
    </row>
    <row r="794">
      <c r="A794" s="17"/>
      <c r="B794" s="12"/>
    </row>
    <row r="795">
      <c r="A795" s="17"/>
      <c r="B795" s="12"/>
    </row>
    <row r="796">
      <c r="A796" s="17"/>
      <c r="B796" s="12"/>
    </row>
    <row r="797">
      <c r="A797" s="17"/>
      <c r="B797" s="12"/>
    </row>
    <row r="798">
      <c r="A798" s="17"/>
      <c r="B798" s="12"/>
    </row>
    <row r="799">
      <c r="A799" s="17"/>
      <c r="B799" s="12"/>
    </row>
    <row r="800">
      <c r="A800" s="17"/>
      <c r="B800" s="12"/>
    </row>
    <row r="801">
      <c r="A801" s="17"/>
      <c r="B801" s="12"/>
    </row>
    <row r="802">
      <c r="A802" s="17"/>
      <c r="B802" s="12"/>
    </row>
    <row r="803">
      <c r="A803" s="17"/>
      <c r="B803" s="12"/>
    </row>
    <row r="804">
      <c r="A804" s="17"/>
      <c r="B804" s="12"/>
    </row>
    <row r="805">
      <c r="A805" s="17"/>
      <c r="B805" s="12"/>
    </row>
    <row r="806">
      <c r="A806" s="17"/>
      <c r="B806" s="12"/>
    </row>
    <row r="807">
      <c r="A807" s="17"/>
      <c r="B807" s="12"/>
    </row>
    <row r="808">
      <c r="A808" s="17"/>
      <c r="B808" s="12"/>
    </row>
    <row r="809">
      <c r="A809" s="17"/>
      <c r="B809" s="12"/>
    </row>
    <row r="810">
      <c r="A810" s="17"/>
      <c r="B810" s="12"/>
    </row>
    <row r="811">
      <c r="A811" s="17"/>
      <c r="B811" s="12"/>
    </row>
    <row r="812">
      <c r="A812" s="17"/>
      <c r="B812" s="12"/>
    </row>
    <row r="813">
      <c r="A813" s="17"/>
      <c r="B813" s="12"/>
    </row>
    <row r="814">
      <c r="A814" s="17"/>
      <c r="B814" s="12"/>
    </row>
    <row r="815">
      <c r="A815" s="17"/>
      <c r="B815" s="12"/>
    </row>
    <row r="816">
      <c r="A816" s="17"/>
      <c r="B816" s="12"/>
    </row>
    <row r="817">
      <c r="A817" s="17"/>
      <c r="B817" s="12"/>
    </row>
    <row r="818">
      <c r="A818" s="17"/>
      <c r="B818" s="12"/>
    </row>
    <row r="819">
      <c r="A819" s="17"/>
      <c r="B819" s="12"/>
    </row>
    <row r="820">
      <c r="A820" s="17"/>
      <c r="B820" s="12"/>
    </row>
    <row r="821">
      <c r="A821" s="17"/>
      <c r="B821" s="12"/>
    </row>
    <row r="822">
      <c r="A822" s="17"/>
      <c r="B822" s="12"/>
    </row>
    <row r="823">
      <c r="A823" s="17"/>
      <c r="B823" s="12"/>
    </row>
    <row r="824">
      <c r="A824" s="17"/>
      <c r="B824" s="12"/>
    </row>
    <row r="825">
      <c r="A825" s="17"/>
      <c r="B825" s="12"/>
    </row>
    <row r="826">
      <c r="A826" s="17"/>
      <c r="B826" s="12"/>
    </row>
    <row r="827">
      <c r="A827" s="17"/>
      <c r="B827" s="12"/>
    </row>
    <row r="828">
      <c r="A828" s="17"/>
      <c r="B828" s="12"/>
    </row>
    <row r="829">
      <c r="A829" s="17"/>
      <c r="B829" s="12"/>
    </row>
    <row r="830">
      <c r="A830" s="17"/>
      <c r="B830" s="12"/>
    </row>
    <row r="831">
      <c r="A831" s="17"/>
      <c r="B831" s="12"/>
    </row>
    <row r="832">
      <c r="A832" s="17"/>
      <c r="B832" s="12"/>
    </row>
    <row r="833">
      <c r="A833" s="17"/>
      <c r="B833" s="12"/>
    </row>
    <row r="834">
      <c r="A834" s="17"/>
      <c r="B834" s="12"/>
    </row>
    <row r="835">
      <c r="A835" s="17"/>
      <c r="B835" s="12"/>
    </row>
    <row r="836">
      <c r="A836" s="17"/>
      <c r="B836" s="12"/>
    </row>
    <row r="837">
      <c r="A837" s="17"/>
      <c r="B837" s="12"/>
    </row>
    <row r="838">
      <c r="A838" s="17"/>
      <c r="B838" s="12"/>
    </row>
    <row r="839">
      <c r="A839" s="17"/>
      <c r="B839" s="12"/>
    </row>
    <row r="840">
      <c r="A840" s="17"/>
      <c r="B840" s="12"/>
    </row>
    <row r="841">
      <c r="A841" s="17"/>
      <c r="B841" s="12"/>
    </row>
    <row r="842">
      <c r="A842" s="17"/>
      <c r="B842" s="12"/>
    </row>
    <row r="843">
      <c r="A843" s="17"/>
      <c r="B843" s="12"/>
    </row>
    <row r="844">
      <c r="A844" s="17"/>
      <c r="B844" s="12"/>
    </row>
    <row r="845">
      <c r="A845" s="17"/>
      <c r="B845" s="12"/>
    </row>
    <row r="846">
      <c r="A846" s="17"/>
      <c r="B846" s="12"/>
    </row>
    <row r="847">
      <c r="A847" s="17"/>
      <c r="B847" s="12"/>
    </row>
    <row r="848">
      <c r="A848" s="17"/>
      <c r="B848" s="12"/>
    </row>
    <row r="849">
      <c r="A849" s="17"/>
      <c r="B849" s="12"/>
    </row>
    <row r="850">
      <c r="A850" s="17"/>
      <c r="B850" s="12"/>
    </row>
    <row r="851">
      <c r="A851" s="17"/>
      <c r="B851" s="12"/>
    </row>
    <row r="852">
      <c r="A852" s="17"/>
      <c r="B852" s="12"/>
    </row>
    <row r="853">
      <c r="A853" s="17"/>
      <c r="B853" s="12"/>
    </row>
    <row r="854">
      <c r="A854" s="17"/>
      <c r="B854" s="12"/>
    </row>
    <row r="855">
      <c r="A855" s="17"/>
      <c r="B855" s="12"/>
    </row>
    <row r="856">
      <c r="A856" s="17"/>
      <c r="B856" s="12"/>
    </row>
    <row r="857">
      <c r="A857" s="17"/>
      <c r="B857" s="12"/>
    </row>
    <row r="858">
      <c r="A858" s="17"/>
      <c r="B858" s="12"/>
    </row>
    <row r="859">
      <c r="A859" s="17"/>
      <c r="B859" s="12"/>
    </row>
    <row r="860">
      <c r="A860" s="17"/>
      <c r="B860" s="12"/>
    </row>
    <row r="861">
      <c r="A861" s="17"/>
      <c r="B861" s="12"/>
    </row>
    <row r="862">
      <c r="A862" s="17"/>
      <c r="B862" s="12"/>
    </row>
    <row r="863">
      <c r="A863" s="17"/>
      <c r="B863" s="12"/>
    </row>
    <row r="864">
      <c r="A864" s="17"/>
      <c r="B864" s="12"/>
    </row>
    <row r="865">
      <c r="A865" s="17"/>
      <c r="B865" s="12"/>
    </row>
    <row r="866">
      <c r="A866" s="17"/>
      <c r="B866" s="12"/>
    </row>
    <row r="867">
      <c r="A867" s="17"/>
      <c r="B867" s="12"/>
    </row>
    <row r="868">
      <c r="A868" s="17"/>
      <c r="B868" s="12"/>
    </row>
    <row r="869">
      <c r="A869" s="17"/>
      <c r="B869" s="12"/>
    </row>
    <row r="870">
      <c r="A870" s="17"/>
      <c r="B870" s="12"/>
    </row>
    <row r="871">
      <c r="A871" s="17"/>
      <c r="B871" s="12"/>
    </row>
    <row r="872">
      <c r="A872" s="17"/>
      <c r="B872" s="12"/>
    </row>
    <row r="873">
      <c r="A873" s="17"/>
      <c r="B873" s="12"/>
    </row>
    <row r="874">
      <c r="A874" s="17"/>
      <c r="B874" s="12"/>
    </row>
    <row r="875">
      <c r="A875" s="17"/>
      <c r="B875" s="12"/>
    </row>
    <row r="876">
      <c r="A876" s="17"/>
      <c r="B876" s="12"/>
    </row>
    <row r="877">
      <c r="A877" s="17"/>
      <c r="B877" s="12"/>
    </row>
    <row r="878">
      <c r="A878" s="17"/>
      <c r="B878" s="12"/>
    </row>
    <row r="879">
      <c r="A879" s="17"/>
      <c r="B879" s="12"/>
    </row>
    <row r="880">
      <c r="A880" s="17"/>
      <c r="B880" s="12"/>
    </row>
    <row r="881">
      <c r="A881" s="17"/>
      <c r="B881" s="12"/>
    </row>
    <row r="882">
      <c r="A882" s="17"/>
      <c r="B882" s="12"/>
    </row>
    <row r="883">
      <c r="A883" s="17"/>
      <c r="B883" s="12"/>
    </row>
    <row r="884">
      <c r="A884" s="17"/>
      <c r="B884" s="12"/>
    </row>
    <row r="885">
      <c r="A885" s="17"/>
      <c r="B885" s="12"/>
    </row>
    <row r="886">
      <c r="A886" s="17"/>
      <c r="B886" s="12"/>
    </row>
    <row r="887">
      <c r="A887" s="17"/>
      <c r="B887" s="12"/>
    </row>
    <row r="888">
      <c r="A888" s="17"/>
      <c r="B888" s="12"/>
    </row>
    <row r="889">
      <c r="A889" s="17"/>
      <c r="B889" s="12"/>
    </row>
    <row r="890">
      <c r="A890" s="17"/>
      <c r="B890" s="12"/>
    </row>
    <row r="891">
      <c r="A891" s="17"/>
      <c r="B891" s="12"/>
    </row>
    <row r="892">
      <c r="A892" s="17"/>
      <c r="B892" s="12"/>
    </row>
    <row r="893">
      <c r="A893" s="17"/>
      <c r="B893" s="12"/>
    </row>
    <row r="894">
      <c r="A894" s="17"/>
      <c r="B894" s="12"/>
    </row>
    <row r="895">
      <c r="A895" s="17"/>
      <c r="B895" s="12"/>
    </row>
    <row r="896">
      <c r="A896" s="17"/>
      <c r="B896" s="12"/>
    </row>
    <row r="897">
      <c r="A897" s="17"/>
      <c r="B897" s="12"/>
    </row>
    <row r="898">
      <c r="A898" s="17"/>
      <c r="B898" s="12"/>
    </row>
    <row r="899">
      <c r="A899" s="17"/>
      <c r="B899" s="12"/>
    </row>
    <row r="900">
      <c r="A900" s="17"/>
      <c r="B900" s="12"/>
    </row>
    <row r="901">
      <c r="A901" s="17"/>
      <c r="B901" s="12"/>
    </row>
    <row r="902">
      <c r="A902" s="17"/>
      <c r="B902" s="12"/>
    </row>
    <row r="903">
      <c r="A903" s="17"/>
      <c r="B903" s="12"/>
    </row>
    <row r="904">
      <c r="A904" s="17"/>
      <c r="B904" s="12"/>
    </row>
    <row r="905">
      <c r="A905" s="17"/>
      <c r="B905" s="12"/>
    </row>
    <row r="906">
      <c r="A906" s="17"/>
      <c r="B906" s="12"/>
    </row>
    <row r="907">
      <c r="A907" s="17"/>
      <c r="B907" s="12"/>
    </row>
    <row r="908">
      <c r="A908" s="17"/>
      <c r="B908" s="12"/>
    </row>
    <row r="909">
      <c r="A909" s="17"/>
      <c r="B909" s="12"/>
    </row>
    <row r="910">
      <c r="A910" s="17"/>
      <c r="B910" s="12"/>
    </row>
    <row r="911">
      <c r="A911" s="17"/>
      <c r="B911" s="12"/>
    </row>
    <row r="912">
      <c r="A912" s="17"/>
      <c r="B912" s="12"/>
    </row>
    <row r="913">
      <c r="A913" s="17"/>
      <c r="B913" s="12"/>
    </row>
    <row r="914">
      <c r="A914" s="17"/>
      <c r="B914" s="12"/>
    </row>
    <row r="915">
      <c r="A915" s="17"/>
      <c r="B915" s="12"/>
    </row>
    <row r="916">
      <c r="A916" s="17"/>
      <c r="B916" s="12"/>
    </row>
    <row r="917">
      <c r="A917" s="17"/>
      <c r="B917" s="12"/>
    </row>
    <row r="918">
      <c r="A918" s="17"/>
      <c r="B918" s="12"/>
    </row>
    <row r="919">
      <c r="A919" s="17"/>
      <c r="B919" s="12"/>
    </row>
    <row r="920">
      <c r="A920" s="17"/>
      <c r="B920" s="12"/>
    </row>
    <row r="921">
      <c r="A921" s="17"/>
      <c r="B921" s="12"/>
    </row>
    <row r="922">
      <c r="A922" s="17"/>
      <c r="B922" s="12"/>
    </row>
    <row r="923">
      <c r="A923" s="17"/>
      <c r="B923" s="12"/>
    </row>
    <row r="924">
      <c r="A924" s="17"/>
      <c r="B924" s="12"/>
    </row>
    <row r="925">
      <c r="A925" s="17"/>
      <c r="B925" s="12"/>
    </row>
    <row r="926">
      <c r="A926" s="17"/>
      <c r="B926" s="12"/>
    </row>
    <row r="927">
      <c r="A927" s="17"/>
      <c r="B927" s="12"/>
    </row>
    <row r="928">
      <c r="A928" s="17"/>
      <c r="B928" s="12"/>
    </row>
    <row r="929">
      <c r="A929" s="17"/>
      <c r="B929" s="12"/>
    </row>
    <row r="930">
      <c r="A930" s="17"/>
      <c r="B930" s="12"/>
    </row>
    <row r="931">
      <c r="A931" s="17"/>
      <c r="B931" s="12"/>
    </row>
    <row r="932">
      <c r="A932" s="17"/>
      <c r="B932" s="12"/>
    </row>
    <row r="933">
      <c r="A933" s="17"/>
      <c r="B933" s="12"/>
    </row>
    <row r="934">
      <c r="A934" s="17"/>
      <c r="B934" s="12"/>
    </row>
    <row r="935">
      <c r="A935" s="17"/>
      <c r="B935" s="12"/>
    </row>
    <row r="936">
      <c r="A936" s="17"/>
      <c r="B936" s="12"/>
    </row>
    <row r="937">
      <c r="A937" s="17"/>
      <c r="B937" s="12"/>
    </row>
    <row r="938">
      <c r="A938" s="17"/>
      <c r="B938" s="12"/>
    </row>
    <row r="939">
      <c r="A939" s="17"/>
      <c r="B939" s="12"/>
    </row>
    <row r="940">
      <c r="A940" s="17"/>
      <c r="B940" s="12"/>
    </row>
    <row r="941">
      <c r="A941" s="17"/>
      <c r="B941" s="12"/>
    </row>
    <row r="942">
      <c r="A942" s="17"/>
      <c r="B942" s="12"/>
    </row>
    <row r="943">
      <c r="A943" s="17"/>
      <c r="B943" s="12"/>
    </row>
    <row r="944">
      <c r="A944" s="17"/>
      <c r="B944" s="12"/>
    </row>
    <row r="945">
      <c r="A945" s="17"/>
      <c r="B945" s="12"/>
    </row>
    <row r="946">
      <c r="A946" s="17"/>
      <c r="B946" s="12"/>
    </row>
    <row r="947">
      <c r="A947" s="17"/>
      <c r="B947" s="12"/>
    </row>
    <row r="948">
      <c r="A948" s="17"/>
      <c r="B948" s="12"/>
    </row>
    <row r="949">
      <c r="A949" s="17"/>
      <c r="B949" s="12"/>
    </row>
    <row r="950">
      <c r="A950" s="17"/>
      <c r="B950" s="12"/>
    </row>
    <row r="951">
      <c r="A951" s="17"/>
      <c r="B951" s="12"/>
    </row>
    <row r="952">
      <c r="A952" s="17"/>
      <c r="B952" s="12"/>
    </row>
    <row r="953">
      <c r="A953" s="17"/>
      <c r="B953" s="12"/>
    </row>
    <row r="954">
      <c r="A954" s="17"/>
      <c r="B954" s="12"/>
    </row>
    <row r="955">
      <c r="A955" s="17"/>
      <c r="B955" s="12"/>
    </row>
    <row r="956">
      <c r="A956" s="17"/>
      <c r="B956" s="12"/>
    </row>
    <row r="957">
      <c r="A957" s="17"/>
      <c r="B957" s="12"/>
    </row>
    <row r="958">
      <c r="A958" s="17"/>
      <c r="B958" s="12"/>
    </row>
    <row r="959">
      <c r="A959" s="17"/>
      <c r="B959" s="12"/>
    </row>
    <row r="960">
      <c r="A960" s="17"/>
      <c r="B960" s="12"/>
    </row>
    <row r="961">
      <c r="A961" s="17"/>
      <c r="B961" s="12"/>
    </row>
    <row r="962">
      <c r="A962" s="17"/>
      <c r="B962" s="12"/>
    </row>
    <row r="963">
      <c r="A963" s="17"/>
      <c r="B963" s="12"/>
    </row>
    <row r="964">
      <c r="A964" s="17"/>
      <c r="B964" s="12"/>
    </row>
    <row r="965">
      <c r="A965" s="17"/>
      <c r="B965" s="12"/>
    </row>
    <row r="966">
      <c r="A966" s="17"/>
      <c r="B966" s="12"/>
    </row>
    <row r="967">
      <c r="A967" s="17"/>
      <c r="B967" s="12"/>
    </row>
    <row r="968">
      <c r="A968" s="17"/>
      <c r="B968" s="12"/>
    </row>
    <row r="969">
      <c r="A969" s="17"/>
      <c r="B969" s="12"/>
    </row>
    <row r="970">
      <c r="A970" s="17"/>
      <c r="B970" s="12"/>
    </row>
    <row r="971">
      <c r="A971" s="17"/>
      <c r="B971" s="12"/>
    </row>
    <row r="972">
      <c r="A972" s="17"/>
      <c r="B972" s="12"/>
    </row>
    <row r="973">
      <c r="A973" s="17"/>
      <c r="B973" s="12"/>
    </row>
    <row r="974">
      <c r="A974" s="17"/>
      <c r="B974" s="12"/>
    </row>
    <row r="975">
      <c r="A975" s="17"/>
      <c r="B975" s="12"/>
    </row>
    <row r="976">
      <c r="A976" s="17"/>
      <c r="B976" s="12"/>
    </row>
    <row r="977">
      <c r="A977" s="17"/>
      <c r="B977" s="12"/>
    </row>
    <row r="978">
      <c r="A978" s="17"/>
      <c r="B978" s="12"/>
    </row>
    <row r="979">
      <c r="A979" s="17"/>
      <c r="B979" s="12"/>
    </row>
    <row r="980">
      <c r="A980" s="17"/>
      <c r="B980" s="12"/>
    </row>
    <row r="981">
      <c r="A981" s="17"/>
      <c r="B981" s="12"/>
    </row>
    <row r="982">
      <c r="A982" s="17"/>
      <c r="B982" s="12"/>
    </row>
    <row r="983">
      <c r="A983" s="17"/>
      <c r="B983" s="12"/>
    </row>
    <row r="984">
      <c r="A984" s="17"/>
      <c r="B984" s="12"/>
    </row>
    <row r="985">
      <c r="A985" s="17"/>
      <c r="B985" s="12"/>
    </row>
    <row r="986">
      <c r="A986" s="17"/>
      <c r="B986" s="12"/>
    </row>
    <row r="987">
      <c r="A987" s="17"/>
      <c r="B987" s="12"/>
    </row>
    <row r="988">
      <c r="A988" s="17"/>
      <c r="B988" s="12"/>
    </row>
    <row r="989">
      <c r="A989" s="17"/>
      <c r="B989" s="12"/>
    </row>
    <row r="990">
      <c r="A990" s="17"/>
      <c r="B990" s="12"/>
    </row>
    <row r="991">
      <c r="A991" s="17"/>
      <c r="B991" s="12"/>
    </row>
    <row r="992">
      <c r="A992" s="17"/>
      <c r="B992" s="12"/>
    </row>
    <row r="993">
      <c r="A993" s="17"/>
      <c r="B993" s="12"/>
    </row>
    <row r="994">
      <c r="A994" s="17"/>
      <c r="B994" s="12"/>
    </row>
    <row r="995">
      <c r="A995" s="17"/>
      <c r="B995" s="12"/>
    </row>
    <row r="996">
      <c r="A996" s="17"/>
      <c r="B996" s="12"/>
    </row>
    <row r="997">
      <c r="A997" s="17"/>
      <c r="B997" s="12"/>
    </row>
    <row r="998">
      <c r="A998" s="17"/>
      <c r="B998" s="12"/>
    </row>
    <row r="999">
      <c r="A999" s="17"/>
      <c r="B999" s="12"/>
    </row>
    <row r="1000">
      <c r="A1000" s="17"/>
      <c r="B1000" s="12"/>
    </row>
  </sheetData>
  <mergeCells count="6">
    <mergeCell ref="K5:L5"/>
    <mergeCell ref="K29:N29"/>
    <mergeCell ref="L30:M30"/>
    <mergeCell ref="K35:N35"/>
    <mergeCell ref="K57:N57"/>
    <mergeCell ref="K66:N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43"/>
    <col customWidth="1" min="2" max="2" width="10.43"/>
    <col customWidth="1" min="3" max="3" width="11.71"/>
    <col customWidth="1" min="4" max="4" width="11.0"/>
    <col customWidth="1" min="5" max="5" width="11.71"/>
    <col customWidth="1" min="6" max="6" width="12.14"/>
    <col customWidth="1" min="7" max="7" width="13.43"/>
    <col customWidth="1" min="8" max="8" width="12.57"/>
    <col customWidth="1" min="9" max="9" width="13.29"/>
    <col customWidth="1" min="10" max="10" width="11.71"/>
    <col customWidth="1" min="11" max="11" width="13.0"/>
    <col customWidth="1" min="12" max="12" width="9.71"/>
    <col customWidth="1" min="13" max="13" width="13.0"/>
    <col customWidth="1" min="14" max="15" width="9.71"/>
    <col customWidth="1" min="16" max="16" width="21.14"/>
    <col customWidth="1" min="17" max="17" width="15.0"/>
    <col customWidth="1" min="18" max="33" width="9.71"/>
  </cols>
  <sheetData>
    <row r="1">
      <c r="A1" s="25" t="s">
        <v>38</v>
      </c>
      <c r="B1" s="26" t="s">
        <v>39</v>
      </c>
      <c r="C1" s="27"/>
      <c r="D1" s="28"/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>
      <c r="A2" s="30" t="s">
        <v>40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>
      <c r="A3" s="3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>
      <c r="A4" s="32" t="s">
        <v>41</v>
      </c>
      <c r="B4" s="33"/>
      <c r="C4" s="34">
        <v>11.0</v>
      </c>
      <c r="D4" s="29"/>
      <c r="E4" s="35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>
      <c r="A5" s="31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>
      <c r="A6" s="25" t="s">
        <v>42</v>
      </c>
      <c r="B6" s="36" t="s">
        <v>43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>
      <c r="A7" s="38"/>
      <c r="B7" s="39" t="s">
        <v>44</v>
      </c>
      <c r="C7" s="39" t="s">
        <v>45</v>
      </c>
      <c r="D7" s="39" t="s">
        <v>46</v>
      </c>
      <c r="E7" s="39" t="s">
        <v>47</v>
      </c>
      <c r="F7" s="39" t="s">
        <v>48</v>
      </c>
      <c r="G7" s="39" t="s">
        <v>49</v>
      </c>
      <c r="H7" s="39" t="s">
        <v>50</v>
      </c>
      <c r="I7" s="39" t="s">
        <v>51</v>
      </c>
      <c r="J7" s="39" t="s">
        <v>52</v>
      </c>
      <c r="K7" s="39" t="s">
        <v>53</v>
      </c>
      <c r="L7" s="39" t="s">
        <v>54</v>
      </c>
      <c r="M7" s="40" t="s">
        <v>55</v>
      </c>
      <c r="N7" s="29"/>
      <c r="O7" s="29"/>
      <c r="P7" s="41" t="s">
        <v>56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>
      <c r="A8" s="42" t="s">
        <v>57</v>
      </c>
      <c r="B8" s="43">
        <f>'User Growth'!B2</f>
        <v>0</v>
      </c>
      <c r="C8" s="43">
        <f>'User Growth'!B3</f>
        <v>0</v>
      </c>
      <c r="D8" s="43">
        <f>'User Growth'!B4</f>
        <v>0</v>
      </c>
      <c r="E8" s="43">
        <f>'User Growth'!B5</f>
        <v>0</v>
      </c>
      <c r="F8" s="43">
        <f>'User Growth'!B6</f>
        <v>0</v>
      </c>
      <c r="G8" s="43">
        <f>'User Growth'!B7</f>
        <v>0</v>
      </c>
      <c r="H8" s="34">
        <f>'User Growth'!B8</f>
        <v>0</v>
      </c>
      <c r="I8" s="34">
        <f>'User Growth'!B9</f>
        <v>0</v>
      </c>
      <c r="J8" s="34">
        <f>'User Growth'!B10</f>
        <v>0</v>
      </c>
      <c r="K8" s="34">
        <f>'User Growth'!B11</f>
        <v>320.0971968</v>
      </c>
      <c r="L8" s="34">
        <f>'User Growth'!B12</f>
        <v>409.5236506</v>
      </c>
      <c r="M8" s="34">
        <f>'User Growth'!B13</f>
        <v>523.403586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>
      <c r="A9" s="44"/>
      <c r="B9" s="36" t="s">
        <v>58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3"/>
      <c r="N9" s="45"/>
      <c r="O9" s="45"/>
      <c r="P9" s="29"/>
      <c r="Q9" s="29"/>
      <c r="R9" s="29"/>
      <c r="S9" s="29"/>
      <c r="T9" s="29"/>
      <c r="U9" s="29"/>
      <c r="V9" s="29"/>
      <c r="W9" s="29"/>
      <c r="X9" s="45"/>
      <c r="Y9" s="45"/>
      <c r="Z9" s="45"/>
      <c r="AA9" s="45"/>
      <c r="AB9" s="45"/>
      <c r="AC9" s="45"/>
      <c r="AD9" s="45"/>
      <c r="AE9" s="45"/>
      <c r="AF9" s="45"/>
      <c r="AG9" s="45"/>
    </row>
    <row r="10">
      <c r="A10" s="44"/>
      <c r="B10" s="39" t="s">
        <v>59</v>
      </c>
      <c r="C10" s="39" t="s">
        <v>60</v>
      </c>
      <c r="D10" s="39" t="s">
        <v>61</v>
      </c>
      <c r="E10" s="39" t="s">
        <v>62</v>
      </c>
      <c r="F10" s="39" t="s">
        <v>63</v>
      </c>
      <c r="G10" s="39" t="s">
        <v>64</v>
      </c>
      <c r="H10" s="39" t="s">
        <v>65</v>
      </c>
      <c r="I10" s="39" t="s">
        <v>66</v>
      </c>
      <c r="J10" s="39" t="s">
        <v>67</v>
      </c>
      <c r="K10" s="39" t="s">
        <v>68</v>
      </c>
      <c r="L10" s="39" t="s">
        <v>69</v>
      </c>
      <c r="M10" s="40" t="s">
        <v>70</v>
      </c>
      <c r="N10" s="45"/>
      <c r="O10" s="45"/>
      <c r="P10" s="46"/>
      <c r="Q10" s="46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</row>
    <row r="11">
      <c r="A11" s="42" t="s">
        <v>71</v>
      </c>
      <c r="B11" s="34">
        <f>'User Growth'!B14</f>
        <v>668.0907747</v>
      </c>
      <c r="C11" s="34">
        <f>'User Growth'!B15</f>
        <v>851.3833735</v>
      </c>
      <c r="D11" s="34">
        <f>'User Growth'!B16</f>
        <v>1082.725145</v>
      </c>
      <c r="E11" s="34">
        <f>'User Growth'!B17</f>
        <v>1373.353182</v>
      </c>
      <c r="F11" s="34">
        <f>'User Growth'!B18</f>
        <v>1736.328991</v>
      </c>
      <c r="G11" s="34">
        <f>'User Growth'!B19</f>
        <v>2186.361381</v>
      </c>
      <c r="H11" s="34">
        <f>'User Growth'!B20</f>
        <v>2739.301289</v>
      </c>
      <c r="I11" s="34">
        <f>'User Growth'!B21</f>
        <v>3411.172534</v>
      </c>
      <c r="J11" s="34">
        <f>'User Growth'!B22</f>
        <v>4216.619718</v>
      </c>
      <c r="K11" s="34">
        <f>'User Growth'!B23</f>
        <v>5166.734047</v>
      </c>
      <c r="L11" s="34">
        <f>'User Growth'!B24</f>
        <v>6266.385095</v>
      </c>
      <c r="M11" s="34">
        <f>'User Growth'!B25</f>
        <v>7511.439532</v>
      </c>
      <c r="N11" s="29"/>
      <c r="O11" s="29"/>
      <c r="P11" s="41"/>
      <c r="Q11" s="41"/>
      <c r="R11" s="29"/>
      <c r="S11" s="29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</row>
    <row r="12">
      <c r="A12" s="44"/>
      <c r="B12" s="36" t="s">
        <v>72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3"/>
      <c r="N12" s="45"/>
      <c r="O12" s="45"/>
      <c r="P12" s="46"/>
      <c r="Q12" s="46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</row>
    <row r="13">
      <c r="A13" s="44"/>
      <c r="B13" s="39" t="s">
        <v>73</v>
      </c>
      <c r="C13" s="39" t="s">
        <v>74</v>
      </c>
      <c r="D13" s="39" t="s">
        <v>75</v>
      </c>
      <c r="E13" s="39" t="s">
        <v>76</v>
      </c>
      <c r="F13" s="39" t="s">
        <v>77</v>
      </c>
      <c r="G13" s="39" t="s">
        <v>78</v>
      </c>
      <c r="H13" s="39" t="s">
        <v>79</v>
      </c>
      <c r="I13" s="39" t="s">
        <v>80</v>
      </c>
      <c r="J13" s="39" t="s">
        <v>81</v>
      </c>
      <c r="K13" s="39" t="s">
        <v>82</v>
      </c>
      <c r="L13" s="39" t="s">
        <v>83</v>
      </c>
      <c r="M13" s="40" t="s">
        <v>84</v>
      </c>
      <c r="N13" s="45"/>
      <c r="O13" s="45"/>
      <c r="P13" s="46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</row>
    <row r="14">
      <c r="A14" s="42" t="s">
        <v>71</v>
      </c>
      <c r="B14" s="34">
        <f>'User Growth'!B26</f>
        <v>8886.524678</v>
      </c>
      <c r="C14" s="34">
        <f>'User Growth'!B27</f>
        <v>10364.15857</v>
      </c>
      <c r="D14" s="34">
        <f>'User Growth'!B28</f>
        <v>11905.94877</v>
      </c>
      <c r="E14" s="34">
        <f>'User Growth'!B29</f>
        <v>13466.07054</v>
      </c>
      <c r="F14" s="34">
        <f>'User Growth'!B30</f>
        <v>14996.49005</v>
      </c>
      <c r="G14" s="34">
        <f>'User Growth'!B31</f>
        <v>16452.73373</v>
      </c>
      <c r="H14" s="34">
        <f>'User Growth'!B32</f>
        <v>17798.78354</v>
      </c>
      <c r="I14" s="34">
        <f>'User Growth'!B33</f>
        <v>19010.02918</v>
      </c>
      <c r="J14" s="34">
        <f>'User Growth'!B34</f>
        <v>20073.92882</v>
      </c>
      <c r="K14" s="34">
        <f>'User Growth'!B35</f>
        <v>20988.73816</v>
      </c>
      <c r="L14" s="34">
        <f>'User Growth'!B36</f>
        <v>21761.07165</v>
      </c>
      <c r="M14" s="34">
        <f>'User Growth'!B37</f>
        <v>22403.09822</v>
      </c>
      <c r="N14" s="29"/>
      <c r="O14" s="29"/>
      <c r="P14" s="29"/>
      <c r="Q14" s="29"/>
      <c r="R14" s="29"/>
      <c r="S14" s="29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>
      <c r="A15" s="31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  <row r="16">
      <c r="A16" s="42" t="s">
        <v>85</v>
      </c>
      <c r="B16" s="47" t="s">
        <v>86</v>
      </c>
      <c r="C16" s="47" t="s">
        <v>87</v>
      </c>
      <c r="D16" s="47" t="s">
        <v>88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>
      <c r="A17" s="48" t="s">
        <v>89</v>
      </c>
      <c r="B17" s="49">
        <v>0.01</v>
      </c>
      <c r="C17" s="49">
        <v>0.01</v>
      </c>
      <c r="D17" s="49">
        <v>0.01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>
      <c r="A18" s="3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>
      <c r="A19" s="42" t="s">
        <v>90</v>
      </c>
      <c r="B19" s="47" t="s">
        <v>43</v>
      </c>
      <c r="C19" s="47" t="s">
        <v>58</v>
      </c>
      <c r="D19" s="47" t="s">
        <v>72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>
      <c r="A20" s="50" t="s">
        <v>91</v>
      </c>
      <c r="B20" s="34">
        <v>20000.0</v>
      </c>
      <c r="C20" s="34">
        <v>25000.0</v>
      </c>
      <c r="D20" s="34">
        <v>40000.0</v>
      </c>
      <c r="E20" s="51"/>
      <c r="F20" s="41"/>
      <c r="G20" s="29"/>
      <c r="H20" s="41"/>
      <c r="I20" s="29"/>
      <c r="J20" s="29"/>
      <c r="K20" s="41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75" customHeight="1">
      <c r="A21" s="50" t="s">
        <v>92</v>
      </c>
      <c r="B21" s="52">
        <v>0.0</v>
      </c>
      <c r="C21" s="34">
        <v>5000.0</v>
      </c>
      <c r="D21" s="34">
        <v>5000.0</v>
      </c>
      <c r="E21" s="45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ht="15.75" customHeight="1">
      <c r="A22" s="50" t="s">
        <v>93</v>
      </c>
      <c r="B22" s="34">
        <v>40000.0</v>
      </c>
      <c r="C22" s="34">
        <v>50000.0</v>
      </c>
      <c r="D22" s="34">
        <v>60000.0</v>
      </c>
      <c r="E22" s="45"/>
      <c r="F22" s="29"/>
      <c r="G22" s="29"/>
      <c r="H22" s="41"/>
      <c r="I22" s="29"/>
      <c r="J22" s="4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ht="15.75" customHeight="1">
      <c r="A23" s="50" t="s">
        <v>94</v>
      </c>
      <c r="B23" s="34">
        <v>0.0</v>
      </c>
      <c r="C23" s="34">
        <v>0.0</v>
      </c>
      <c r="D23" s="34">
        <v>0.0</v>
      </c>
      <c r="E23" s="45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ht="15.75" customHeight="1">
      <c r="A24" s="50" t="s">
        <v>95</v>
      </c>
      <c r="B24" s="34">
        <v>0.0</v>
      </c>
      <c r="C24" s="34">
        <v>0.0</v>
      </c>
      <c r="D24" s="34">
        <v>0.0</v>
      </c>
      <c r="E24" s="45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ht="15.75" customHeight="1">
      <c r="A25" s="50" t="s">
        <v>96</v>
      </c>
      <c r="B25" s="34">
        <v>20000.0</v>
      </c>
      <c r="C25" s="34">
        <v>30000.0</v>
      </c>
      <c r="D25" s="34">
        <v>30000.0</v>
      </c>
      <c r="E25" s="45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ht="15.75" customHeight="1">
      <c r="A26" s="50" t="s">
        <v>97</v>
      </c>
      <c r="B26" s="34">
        <v>14000.0</v>
      </c>
      <c r="C26" s="34">
        <v>14000.0</v>
      </c>
      <c r="D26" s="34">
        <v>14000.0</v>
      </c>
      <c r="E26" s="45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ht="15.75" customHeight="1">
      <c r="A27" s="50" t="s">
        <v>98</v>
      </c>
      <c r="B27" s="34">
        <v>1000.0</v>
      </c>
      <c r="C27" s="34">
        <v>1000.0</v>
      </c>
      <c r="D27" s="34">
        <v>1000.0</v>
      </c>
      <c r="E27" s="45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ht="15.75" customHeight="1">
      <c r="A28" s="50" t="s">
        <v>99</v>
      </c>
      <c r="B28" s="34">
        <v>0.0</v>
      </c>
      <c r="C28" s="34">
        <v>0.0</v>
      </c>
      <c r="D28" s="34">
        <v>0.0</v>
      </c>
      <c r="E28" s="45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ht="15.75" customHeight="1">
      <c r="A29" s="53" t="s">
        <v>100</v>
      </c>
      <c r="B29" s="34">
        <v>0.0</v>
      </c>
      <c r="C29" s="34">
        <v>0.0</v>
      </c>
      <c r="D29" s="34">
        <v>0.0</v>
      </c>
      <c r="E29" s="45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ht="15.75" customHeight="1">
      <c r="A30" s="31"/>
      <c r="B30" s="54"/>
      <c r="C30" s="54"/>
      <c r="D30" s="54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ht="15.75" customHeight="1">
      <c r="A31" s="42" t="s">
        <v>101</v>
      </c>
      <c r="B31" s="40" t="s">
        <v>44</v>
      </c>
      <c r="C31" s="55" t="s">
        <v>45</v>
      </c>
      <c r="D31" s="55" t="s">
        <v>46</v>
      </c>
      <c r="E31" s="55" t="s">
        <v>47</v>
      </c>
      <c r="F31" s="55" t="s">
        <v>48</v>
      </c>
      <c r="G31" s="55" t="s">
        <v>49</v>
      </c>
      <c r="H31" s="55" t="s">
        <v>50</v>
      </c>
      <c r="I31" s="55" t="s">
        <v>51</v>
      </c>
      <c r="J31" s="55" t="s">
        <v>52</v>
      </c>
      <c r="K31" s="55" t="s">
        <v>53</v>
      </c>
      <c r="L31" s="55" t="s">
        <v>54</v>
      </c>
      <c r="M31" s="55" t="s">
        <v>55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ht="15.75" customHeight="1">
      <c r="A32" s="56" t="s">
        <v>102</v>
      </c>
      <c r="B32" s="52">
        <v>15000.0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ht="15.75" customHeight="1">
      <c r="A33" s="53" t="s">
        <v>103</v>
      </c>
      <c r="B33" s="52">
        <v>150000.0</v>
      </c>
      <c r="C33" s="52"/>
      <c r="D33" s="52"/>
      <c r="E33" s="52"/>
      <c r="F33" s="52"/>
      <c r="G33" s="52">
        <v>0.0</v>
      </c>
      <c r="H33" s="52"/>
      <c r="I33" s="52"/>
      <c r="J33" s="52"/>
      <c r="K33" s="52"/>
      <c r="L33" s="52"/>
      <c r="M33" s="52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ht="15.75" customHeight="1">
      <c r="A34" s="57"/>
      <c r="B34" s="39" t="s">
        <v>59</v>
      </c>
      <c r="C34" s="39" t="s">
        <v>60</v>
      </c>
      <c r="D34" s="39" t="s">
        <v>61</v>
      </c>
      <c r="E34" s="39" t="s">
        <v>62</v>
      </c>
      <c r="F34" s="39" t="s">
        <v>63</v>
      </c>
      <c r="G34" s="39" t="s">
        <v>64</v>
      </c>
      <c r="H34" s="39" t="s">
        <v>65</v>
      </c>
      <c r="I34" s="39" t="s">
        <v>66</v>
      </c>
      <c r="J34" s="39" t="s">
        <v>67</v>
      </c>
      <c r="K34" s="39" t="s">
        <v>68</v>
      </c>
      <c r="L34" s="39" t="s">
        <v>69</v>
      </c>
      <c r="M34" s="39" t="s">
        <v>70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</row>
    <row r="35" ht="15.75" customHeight="1">
      <c r="A35" s="56" t="s">
        <v>102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</row>
    <row r="36" ht="15.75" customHeight="1">
      <c r="A36" s="53" t="s">
        <v>103</v>
      </c>
      <c r="B36" s="52">
        <v>0.0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ht="15.75" customHeight="1">
      <c r="A37" s="57"/>
      <c r="B37" s="39" t="s">
        <v>73</v>
      </c>
      <c r="C37" s="39" t="s">
        <v>74</v>
      </c>
      <c r="D37" s="39" t="s">
        <v>75</v>
      </c>
      <c r="E37" s="39" t="s">
        <v>76</v>
      </c>
      <c r="F37" s="39" t="s">
        <v>77</v>
      </c>
      <c r="G37" s="39" t="s">
        <v>78</v>
      </c>
      <c r="H37" s="39" t="s">
        <v>79</v>
      </c>
      <c r="I37" s="39" t="s">
        <v>80</v>
      </c>
      <c r="J37" s="39" t="s">
        <v>81</v>
      </c>
      <c r="K37" s="39" t="s">
        <v>82</v>
      </c>
      <c r="L37" s="39" t="s">
        <v>83</v>
      </c>
      <c r="M37" s="39" t="s">
        <v>84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</row>
    <row r="38" ht="15.75" customHeight="1">
      <c r="A38" s="56" t="s">
        <v>102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ht="15.75" customHeight="1">
      <c r="A39" s="53" t="s">
        <v>103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ht="15.75" customHeight="1">
      <c r="A40" s="58"/>
      <c r="B40" s="59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</row>
    <row r="41" ht="15.75" customHeight="1">
      <c r="A41" s="42" t="s">
        <v>104</v>
      </c>
      <c r="B41" s="60">
        <v>0.05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ht="15.75" customHeight="1">
      <c r="A42" s="31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ht="15.75" customHeight="1">
      <c r="A43" s="42" t="s">
        <v>105</v>
      </c>
      <c r="B43" s="36" t="s">
        <v>43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3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</row>
    <row r="44" ht="15.75" customHeight="1">
      <c r="A44" s="29"/>
      <c r="B44" s="39" t="s">
        <v>44</v>
      </c>
      <c r="C44" s="39" t="s">
        <v>45</v>
      </c>
      <c r="D44" s="39" t="s">
        <v>46</v>
      </c>
      <c r="E44" s="39" t="s">
        <v>47</v>
      </c>
      <c r="F44" s="39" t="s">
        <v>48</v>
      </c>
      <c r="G44" s="39" t="s">
        <v>49</v>
      </c>
      <c r="H44" s="39" t="s">
        <v>50</v>
      </c>
      <c r="I44" s="39" t="s">
        <v>51</v>
      </c>
      <c r="J44" s="39" t="s">
        <v>52</v>
      </c>
      <c r="K44" s="39" t="s">
        <v>53</v>
      </c>
      <c r="L44" s="39" t="s">
        <v>54</v>
      </c>
      <c r="M44" s="40" t="s">
        <v>55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</row>
    <row r="45" ht="15.75" customHeight="1">
      <c r="A45" s="61" t="s">
        <v>105</v>
      </c>
      <c r="B45" s="34">
        <v>5000.0</v>
      </c>
      <c r="C45" s="34">
        <v>5000.0</v>
      </c>
      <c r="D45" s="34">
        <v>5000.0</v>
      </c>
      <c r="E45" s="34">
        <v>5000.0</v>
      </c>
      <c r="F45" s="34">
        <v>5000.0</v>
      </c>
      <c r="G45" s="34">
        <v>5000.0</v>
      </c>
      <c r="H45" s="34">
        <v>5000.0</v>
      </c>
      <c r="I45" s="34">
        <v>5000.0</v>
      </c>
      <c r="J45" s="34">
        <v>5000.0</v>
      </c>
      <c r="K45" s="34">
        <v>5000.0</v>
      </c>
      <c r="L45" s="34">
        <v>5000.0</v>
      </c>
      <c r="M45" s="34">
        <v>5000.0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ht="15.75" customHeight="1">
      <c r="A46" s="62"/>
      <c r="B46" s="36" t="s">
        <v>58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3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ht="15.75" customHeight="1">
      <c r="A47" s="62"/>
      <c r="B47" s="39" t="s">
        <v>59</v>
      </c>
      <c r="C47" s="39" t="s">
        <v>60</v>
      </c>
      <c r="D47" s="39" t="s">
        <v>61</v>
      </c>
      <c r="E47" s="39" t="s">
        <v>62</v>
      </c>
      <c r="F47" s="39" t="s">
        <v>63</v>
      </c>
      <c r="G47" s="39" t="s">
        <v>64</v>
      </c>
      <c r="H47" s="39" t="s">
        <v>65</v>
      </c>
      <c r="I47" s="39" t="s">
        <v>66</v>
      </c>
      <c r="J47" s="39" t="s">
        <v>67</v>
      </c>
      <c r="K47" s="39" t="s">
        <v>68</v>
      </c>
      <c r="L47" s="39" t="s">
        <v>69</v>
      </c>
      <c r="M47" s="40" t="s">
        <v>70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</row>
    <row r="48" ht="15.75" customHeight="1">
      <c r="A48" s="61" t="s">
        <v>105</v>
      </c>
      <c r="B48" s="34">
        <v>2000.0</v>
      </c>
      <c r="C48" s="34">
        <v>0.0</v>
      </c>
      <c r="D48" s="34">
        <v>0.0</v>
      </c>
      <c r="E48" s="34">
        <v>2000.0</v>
      </c>
      <c r="F48" s="34">
        <v>1000.0</v>
      </c>
      <c r="G48" s="34">
        <v>1000.0</v>
      </c>
      <c r="H48" s="34">
        <v>2000.0</v>
      </c>
      <c r="I48" s="34">
        <v>1000.0</v>
      </c>
      <c r="J48" s="34">
        <v>1000.0</v>
      </c>
      <c r="K48" s="34">
        <v>1000.0</v>
      </c>
      <c r="L48" s="34">
        <v>1000.0</v>
      </c>
      <c r="M48" s="34">
        <v>1000.0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</row>
    <row r="49" ht="15.75" customHeight="1">
      <c r="A49" s="62"/>
      <c r="B49" s="36" t="s">
        <v>72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3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</row>
    <row r="50" ht="15.75" customHeight="1">
      <c r="A50" s="62"/>
      <c r="B50" s="39" t="s">
        <v>73</v>
      </c>
      <c r="C50" s="39" t="s">
        <v>74</v>
      </c>
      <c r="D50" s="39" t="s">
        <v>75</v>
      </c>
      <c r="E50" s="39" t="s">
        <v>76</v>
      </c>
      <c r="F50" s="39" t="s">
        <v>77</v>
      </c>
      <c r="G50" s="39" t="s">
        <v>78</v>
      </c>
      <c r="H50" s="39" t="s">
        <v>79</v>
      </c>
      <c r="I50" s="39" t="s">
        <v>80</v>
      </c>
      <c r="J50" s="39" t="s">
        <v>81</v>
      </c>
      <c r="K50" s="39" t="s">
        <v>82</v>
      </c>
      <c r="L50" s="39" t="s">
        <v>83</v>
      </c>
      <c r="M50" s="40" t="s">
        <v>84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ht="15.75" customHeight="1">
      <c r="A51" s="61" t="s">
        <v>105</v>
      </c>
      <c r="B51" s="34">
        <v>4000.0</v>
      </c>
      <c r="C51" s="34">
        <v>2000.0</v>
      </c>
      <c r="D51" s="34">
        <v>2000.0</v>
      </c>
      <c r="E51" s="34">
        <v>2000.0</v>
      </c>
      <c r="F51" s="34">
        <v>4000.0</v>
      </c>
      <c r="G51" s="34">
        <v>2000.0</v>
      </c>
      <c r="H51" s="34">
        <v>2000.0</v>
      </c>
      <c r="I51" s="34">
        <v>2000.0</v>
      </c>
      <c r="J51" s="34">
        <v>4000.0</v>
      </c>
      <c r="K51" s="34">
        <v>2000.0</v>
      </c>
      <c r="L51" s="34">
        <v>2000.0</v>
      </c>
      <c r="M51" s="34">
        <v>2000.0</v>
      </c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</row>
    <row r="52" ht="15.75" customHeight="1">
      <c r="A52" s="3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</row>
    <row r="53" ht="15.75" customHeight="1">
      <c r="A53" s="31"/>
      <c r="B53" s="63" t="s">
        <v>106</v>
      </c>
      <c r="C53" s="63" t="s">
        <v>107</v>
      </c>
      <c r="D53" s="63" t="s">
        <v>108</v>
      </c>
      <c r="E53" s="63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ht="15.75" customHeight="1">
      <c r="A54" s="42" t="s">
        <v>109</v>
      </c>
      <c r="B54" s="34"/>
      <c r="C54" s="34">
        <v>10000.0</v>
      </c>
      <c r="D54" s="34">
        <v>10000.0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ht="15.75" customHeight="1">
      <c r="A55" s="30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ht="15.75" customHeight="1">
      <c r="A56" s="42" t="s">
        <v>110</v>
      </c>
      <c r="B56" s="36" t="s">
        <v>43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3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ht="15.75" customHeight="1">
      <c r="A57" s="64"/>
      <c r="B57" s="39" t="s">
        <v>44</v>
      </c>
      <c r="C57" s="39" t="s">
        <v>45</v>
      </c>
      <c r="D57" s="39" t="s">
        <v>46</v>
      </c>
      <c r="E57" s="39" t="s">
        <v>47</v>
      </c>
      <c r="F57" s="39" t="s">
        <v>48</v>
      </c>
      <c r="G57" s="39" t="s">
        <v>49</v>
      </c>
      <c r="H57" s="39" t="s">
        <v>50</v>
      </c>
      <c r="I57" s="39" t="s">
        <v>51</v>
      </c>
      <c r="J57" s="39" t="s">
        <v>52</v>
      </c>
      <c r="K57" s="39" t="s">
        <v>53</v>
      </c>
      <c r="L57" s="39" t="s">
        <v>54</v>
      </c>
      <c r="M57" s="40" t="s">
        <v>55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ht="15.75" customHeight="1">
      <c r="A58" s="61" t="s">
        <v>111</v>
      </c>
      <c r="B58" s="52"/>
      <c r="C58" s="52"/>
      <c r="D58" s="34">
        <v>0.0</v>
      </c>
      <c r="E58" s="52"/>
      <c r="F58" s="52"/>
      <c r="G58" s="52"/>
      <c r="H58" s="34">
        <v>0.0</v>
      </c>
      <c r="I58" s="52"/>
      <c r="J58" s="52"/>
      <c r="K58" s="52"/>
      <c r="L58" s="52"/>
      <c r="M58" s="5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75" customHeight="1">
      <c r="A59" s="62" t="s">
        <v>112</v>
      </c>
      <c r="B59" s="65" t="str">
        <f>B58</f>
        <v/>
      </c>
      <c r="C59" s="65">
        <f t="shared" ref="C59:M59" si="1">B59+C58</f>
        <v>0</v>
      </c>
      <c r="D59" s="59">
        <f t="shared" si="1"/>
        <v>0</v>
      </c>
      <c r="E59" s="59">
        <f t="shared" si="1"/>
        <v>0</v>
      </c>
      <c r="F59" s="59">
        <f t="shared" si="1"/>
        <v>0</v>
      </c>
      <c r="G59" s="59">
        <f t="shared" si="1"/>
        <v>0</v>
      </c>
      <c r="H59" s="59">
        <f t="shared" si="1"/>
        <v>0</v>
      </c>
      <c r="I59" s="59">
        <f t="shared" si="1"/>
        <v>0</v>
      </c>
      <c r="J59" s="59">
        <f t="shared" si="1"/>
        <v>0</v>
      </c>
      <c r="K59" s="59">
        <f t="shared" si="1"/>
        <v>0</v>
      </c>
      <c r="L59" s="59">
        <f t="shared" si="1"/>
        <v>0</v>
      </c>
      <c r="M59" s="59">
        <f t="shared" si="1"/>
        <v>0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ht="15.75" customHeight="1">
      <c r="A60" s="62"/>
      <c r="B60" s="36" t="s">
        <v>58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3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ht="15.75" customHeight="1">
      <c r="A61" s="64"/>
      <c r="B61" s="39" t="s">
        <v>59</v>
      </c>
      <c r="C61" s="39" t="s">
        <v>60</v>
      </c>
      <c r="D61" s="39" t="s">
        <v>61</v>
      </c>
      <c r="E61" s="39" t="s">
        <v>62</v>
      </c>
      <c r="F61" s="39" t="s">
        <v>63</v>
      </c>
      <c r="G61" s="39" t="s">
        <v>64</v>
      </c>
      <c r="H61" s="39" t="s">
        <v>65</v>
      </c>
      <c r="I61" s="39" t="s">
        <v>66</v>
      </c>
      <c r="J61" s="39" t="s">
        <v>67</v>
      </c>
      <c r="K61" s="39" t="s">
        <v>68</v>
      </c>
      <c r="L61" s="39" t="s">
        <v>69</v>
      </c>
      <c r="M61" s="40" t="s">
        <v>70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75" customHeight="1">
      <c r="A62" s="61" t="s">
        <v>111</v>
      </c>
      <c r="B62" s="52"/>
      <c r="C62" s="52"/>
      <c r="D62" s="34">
        <v>0.0</v>
      </c>
      <c r="E62" s="52"/>
      <c r="F62" s="52"/>
      <c r="G62" s="52"/>
      <c r="H62" s="52"/>
      <c r="I62" s="34">
        <v>0.0</v>
      </c>
      <c r="J62" s="52"/>
      <c r="K62" s="52"/>
      <c r="L62" s="52"/>
      <c r="M62" s="52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ht="15.75" customHeight="1">
      <c r="A63" s="62" t="s">
        <v>112</v>
      </c>
      <c r="B63" s="66">
        <f>M59+B62</f>
        <v>0</v>
      </c>
      <c r="C63" s="67">
        <f t="shared" ref="C63:M63" si="2">B63+C62</f>
        <v>0</v>
      </c>
      <c r="D63" s="67">
        <f t="shared" si="2"/>
        <v>0</v>
      </c>
      <c r="E63" s="67">
        <f t="shared" si="2"/>
        <v>0</v>
      </c>
      <c r="F63" s="67">
        <f t="shared" si="2"/>
        <v>0</v>
      </c>
      <c r="G63" s="67">
        <f t="shared" si="2"/>
        <v>0</v>
      </c>
      <c r="H63" s="67">
        <f t="shared" si="2"/>
        <v>0</v>
      </c>
      <c r="I63" s="67">
        <f t="shared" si="2"/>
        <v>0</v>
      </c>
      <c r="J63" s="67">
        <f t="shared" si="2"/>
        <v>0</v>
      </c>
      <c r="K63" s="67">
        <f t="shared" si="2"/>
        <v>0</v>
      </c>
      <c r="L63" s="67">
        <f t="shared" si="2"/>
        <v>0</v>
      </c>
      <c r="M63" s="68">
        <f t="shared" si="2"/>
        <v>0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ht="15.75" customHeight="1">
      <c r="A64" s="62"/>
      <c r="B64" s="36" t="s">
        <v>72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3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75" customHeight="1">
      <c r="A65" s="64"/>
      <c r="B65" s="39" t="s">
        <v>73</v>
      </c>
      <c r="C65" s="39" t="s">
        <v>74</v>
      </c>
      <c r="D65" s="39" t="s">
        <v>75</v>
      </c>
      <c r="E65" s="39" t="s">
        <v>76</v>
      </c>
      <c r="F65" s="39" t="s">
        <v>77</v>
      </c>
      <c r="G65" s="39" t="s">
        <v>78</v>
      </c>
      <c r="H65" s="39" t="s">
        <v>79</v>
      </c>
      <c r="I65" s="39" t="s">
        <v>80</v>
      </c>
      <c r="J65" s="39" t="s">
        <v>81</v>
      </c>
      <c r="K65" s="39" t="s">
        <v>82</v>
      </c>
      <c r="L65" s="39" t="s">
        <v>83</v>
      </c>
      <c r="M65" s="40" t="s">
        <v>84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ht="15.75" customHeight="1">
      <c r="A66" s="61" t="s">
        <v>111</v>
      </c>
      <c r="B66" s="52"/>
      <c r="C66" s="52"/>
      <c r="D66" s="34">
        <v>0.0</v>
      </c>
      <c r="E66" s="52"/>
      <c r="F66" s="52"/>
      <c r="G66" s="52"/>
      <c r="H66" s="52"/>
      <c r="I66" s="34">
        <v>0.0</v>
      </c>
      <c r="J66" s="52"/>
      <c r="K66" s="52"/>
      <c r="L66" s="52"/>
      <c r="M66" s="52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ht="15.75" customHeight="1">
      <c r="A67" s="62" t="s">
        <v>112</v>
      </c>
      <c r="B67" s="66">
        <f>M63+B66</f>
        <v>0</v>
      </c>
      <c r="C67" s="67">
        <f t="shared" ref="C67:M67" si="3">B67+C66</f>
        <v>0</v>
      </c>
      <c r="D67" s="67">
        <f t="shared" si="3"/>
        <v>0</v>
      </c>
      <c r="E67" s="67">
        <f t="shared" si="3"/>
        <v>0</v>
      </c>
      <c r="F67" s="67">
        <f t="shared" si="3"/>
        <v>0</v>
      </c>
      <c r="G67" s="67">
        <f t="shared" si="3"/>
        <v>0</v>
      </c>
      <c r="H67" s="67">
        <f t="shared" si="3"/>
        <v>0</v>
      </c>
      <c r="I67" s="67">
        <f t="shared" si="3"/>
        <v>0</v>
      </c>
      <c r="J67" s="67">
        <f t="shared" si="3"/>
        <v>0</v>
      </c>
      <c r="K67" s="67">
        <f t="shared" si="3"/>
        <v>0</v>
      </c>
      <c r="L67" s="67">
        <f t="shared" si="3"/>
        <v>0</v>
      </c>
      <c r="M67" s="68">
        <f t="shared" si="3"/>
        <v>0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75" customHeight="1">
      <c r="A68" s="31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ht="15.75" customHeight="1">
      <c r="A69" s="3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ht="15.75" customHeight="1">
      <c r="A70" s="3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75" customHeight="1">
      <c r="A71" s="3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ht="15.75" customHeight="1">
      <c r="A72" s="3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ht="15.75" customHeight="1">
      <c r="A73" s="3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ht="15.75" customHeight="1">
      <c r="A74" s="3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ht="15.75" customHeight="1">
      <c r="A75" s="3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ht="15.75" customHeight="1">
      <c r="A76" s="3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ht="15.75" customHeight="1">
      <c r="A77" s="3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ht="15.75" customHeight="1">
      <c r="A78" s="3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ht="15.75" customHeight="1">
      <c r="A79" s="3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ht="15.75" customHeight="1">
      <c r="A80" s="3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ht="15.75" customHeight="1">
      <c r="A81" s="3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ht="15.75" customHeight="1">
      <c r="A82" s="3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ht="15.75" customHeight="1">
      <c r="A83" s="3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ht="15.75" customHeight="1">
      <c r="A84" s="3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ht="15.75" customHeight="1">
      <c r="A85" s="3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ht="15.75" customHeight="1">
      <c r="A86" s="3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ht="15.75" customHeight="1">
      <c r="A87" s="3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ht="15.75" customHeight="1">
      <c r="A88" s="3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ht="15.75" customHeight="1">
      <c r="A89" s="3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ht="15.75" customHeight="1">
      <c r="A90" s="3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ht="15.75" customHeight="1">
      <c r="A91" s="3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ht="15.75" customHeight="1">
      <c r="A92" s="3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ht="15.75" customHeight="1">
      <c r="A93" s="3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ht="15.75" customHeight="1">
      <c r="A94" s="3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ht="15.75" customHeight="1">
      <c r="A95" s="3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ht="15.75" customHeight="1">
      <c r="A96" s="3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ht="15.75" customHeight="1">
      <c r="A97" s="3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ht="15.75" customHeight="1">
      <c r="A98" s="3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ht="15.75" customHeight="1">
      <c r="A99" s="3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ht="15.75" customHeight="1">
      <c r="A100" s="3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ht="15.75" customHeight="1">
      <c r="A101" s="3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ht="15.75" customHeight="1">
      <c r="A102" s="3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ht="15.75" customHeight="1">
      <c r="A103" s="3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ht="15.75" customHeight="1">
      <c r="A104" s="3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ht="15.75" customHeight="1">
      <c r="A105" s="3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ht="15.75" customHeight="1">
      <c r="A106" s="3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ht="15.75" customHeight="1">
      <c r="A107" s="3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ht="15.75" customHeight="1">
      <c r="A108" s="3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ht="15.75" customHeight="1">
      <c r="A109" s="3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ht="15.75" customHeight="1">
      <c r="A110" s="3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ht="15.75" customHeight="1">
      <c r="A111" s="3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ht="15.75" customHeight="1">
      <c r="A112" s="3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ht="15.75" customHeight="1">
      <c r="A113" s="3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ht="15.75" customHeight="1">
      <c r="A114" s="3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ht="15.75" customHeight="1">
      <c r="A115" s="3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ht="15.75" customHeight="1">
      <c r="A116" s="3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ht="15.75" customHeight="1">
      <c r="A117" s="3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ht="15.75" customHeight="1">
      <c r="A118" s="3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ht="15.75" customHeight="1">
      <c r="A119" s="3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ht="15.75" customHeight="1">
      <c r="A120" s="3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ht="15.75" customHeight="1">
      <c r="A121" s="3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ht="15.75" customHeight="1">
      <c r="A122" s="3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ht="15.75" customHeight="1">
      <c r="A123" s="3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ht="15.75" customHeight="1">
      <c r="A124" s="3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ht="15.75" customHeight="1">
      <c r="A125" s="3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ht="15.75" customHeight="1">
      <c r="A126" s="3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ht="15.75" customHeight="1">
      <c r="A127" s="3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ht="15.75" customHeight="1">
      <c r="A128" s="3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ht="15.75" customHeight="1">
      <c r="A129" s="3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ht="15.75" customHeight="1">
      <c r="A130" s="3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ht="15.75" customHeight="1">
      <c r="A131" s="3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ht="15.75" customHeight="1">
      <c r="A132" s="3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ht="15.75" customHeight="1">
      <c r="A133" s="3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ht="15.75" customHeight="1">
      <c r="A134" s="3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ht="15.75" customHeight="1">
      <c r="A135" s="3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ht="15.75" customHeight="1">
      <c r="A136" s="3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ht="15.75" customHeight="1">
      <c r="A137" s="3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ht="15.75" customHeight="1">
      <c r="A138" s="3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ht="15.75" customHeight="1">
      <c r="A139" s="3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ht="15.75" customHeight="1">
      <c r="A140" s="3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ht="15.75" customHeight="1">
      <c r="A141" s="3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ht="15.75" customHeight="1">
      <c r="A142" s="3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ht="15.75" customHeight="1">
      <c r="A143" s="3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ht="15.75" customHeight="1">
      <c r="A144" s="3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ht="15.75" customHeight="1">
      <c r="A145" s="3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ht="15.75" customHeight="1">
      <c r="A146" s="3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ht="15.75" customHeight="1">
      <c r="A147" s="3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ht="15.75" customHeight="1">
      <c r="A148" s="3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ht="15.75" customHeight="1">
      <c r="A149" s="3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ht="15.75" customHeight="1">
      <c r="A150" s="3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ht="15.75" customHeight="1">
      <c r="A151" s="3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ht="15.75" customHeight="1">
      <c r="A152" s="3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ht="15.75" customHeight="1">
      <c r="A153" s="3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ht="15.75" customHeight="1">
      <c r="A154" s="3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ht="15.75" customHeight="1">
      <c r="A155" s="3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ht="15.75" customHeight="1">
      <c r="A156" s="3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ht="15.75" customHeight="1">
      <c r="A157" s="3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ht="15.75" customHeight="1">
      <c r="A158" s="3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ht="15.75" customHeight="1">
      <c r="A159" s="3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ht="15.75" customHeight="1">
      <c r="A160" s="3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ht="15.75" customHeight="1">
      <c r="A161" s="3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ht="15.75" customHeight="1">
      <c r="A162" s="3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ht="15.75" customHeight="1">
      <c r="A163" s="3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ht="15.75" customHeight="1">
      <c r="A164" s="3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ht="15.75" customHeight="1">
      <c r="A165" s="3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ht="15.75" customHeight="1">
      <c r="A166" s="3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ht="15.75" customHeight="1">
      <c r="A167" s="3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ht="15.75" customHeight="1">
      <c r="A168" s="3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ht="15.75" customHeight="1">
      <c r="A169" s="3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ht="15.75" customHeight="1">
      <c r="A170" s="3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ht="15.75" customHeight="1">
      <c r="A171" s="3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ht="15.75" customHeight="1">
      <c r="A172" s="3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ht="15.75" customHeight="1">
      <c r="A173" s="3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ht="15.75" customHeight="1">
      <c r="A174" s="3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ht="15.75" customHeight="1">
      <c r="A175" s="3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ht="15.75" customHeight="1">
      <c r="A176" s="3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ht="15.75" customHeight="1">
      <c r="A177" s="3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ht="15.75" customHeight="1">
      <c r="A178" s="3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ht="15.75" customHeight="1">
      <c r="A179" s="3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ht="15.75" customHeight="1">
      <c r="A180" s="3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ht="15.75" customHeight="1">
      <c r="A181" s="3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ht="15.75" customHeight="1">
      <c r="A182" s="3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ht="15.75" customHeight="1">
      <c r="A183" s="3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ht="15.75" customHeight="1">
      <c r="A184" s="3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ht="15.75" customHeight="1">
      <c r="A185" s="3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ht="15.75" customHeight="1">
      <c r="A186" s="3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ht="15.75" customHeight="1">
      <c r="A187" s="3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ht="15.75" customHeight="1">
      <c r="A188" s="3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ht="15.75" customHeight="1">
      <c r="A189" s="3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ht="15.75" customHeight="1">
      <c r="A190" s="3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ht="15.75" customHeight="1">
      <c r="A191" s="3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ht="15.75" customHeight="1">
      <c r="A192" s="3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ht="15.75" customHeight="1">
      <c r="A193" s="3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ht="15.75" customHeight="1">
      <c r="A194" s="3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ht="15.75" customHeight="1">
      <c r="A195" s="3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ht="15.75" customHeight="1">
      <c r="A196" s="3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ht="15.75" customHeight="1">
      <c r="A197" s="3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ht="15.75" customHeight="1">
      <c r="A198" s="3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ht="15.75" customHeight="1">
      <c r="A199" s="3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ht="15.75" customHeight="1">
      <c r="A200" s="3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ht="15.75" customHeight="1">
      <c r="A201" s="3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ht="15.75" customHeight="1">
      <c r="A202" s="3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ht="15.75" customHeight="1">
      <c r="A203" s="3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ht="15.75" customHeight="1">
      <c r="A204" s="3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ht="15.75" customHeight="1">
      <c r="A205" s="3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ht="15.75" customHeight="1">
      <c r="A206" s="3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ht="15.75" customHeight="1">
      <c r="A207" s="3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ht="15.75" customHeight="1">
      <c r="A208" s="3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ht="15.75" customHeight="1">
      <c r="A209" s="3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ht="15.75" customHeight="1">
      <c r="A210" s="3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ht="15.75" customHeight="1">
      <c r="A211" s="3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ht="15.75" customHeight="1">
      <c r="A212" s="3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ht="15.75" customHeight="1">
      <c r="A213" s="3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ht="15.75" customHeight="1">
      <c r="A214" s="3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ht="15.75" customHeight="1">
      <c r="A215" s="3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ht="15.75" customHeight="1">
      <c r="A216" s="3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ht="15.75" customHeight="1">
      <c r="A217" s="3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ht="15.75" customHeight="1">
      <c r="A218" s="3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ht="15.75" customHeight="1">
      <c r="A219" s="3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ht="15.75" customHeight="1">
      <c r="A220" s="3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ht="15.75" customHeight="1">
      <c r="A221" s="3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ht="15.75" customHeight="1">
      <c r="A222" s="3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ht="15.75" customHeight="1">
      <c r="A223" s="3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ht="15.75" customHeight="1">
      <c r="A224" s="3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ht="15.75" customHeight="1">
      <c r="A225" s="3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ht="15.75" customHeight="1">
      <c r="A226" s="3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ht="15.75" customHeight="1">
      <c r="A227" s="3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ht="15.75" customHeight="1">
      <c r="A228" s="3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ht="15.75" customHeight="1">
      <c r="A229" s="3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ht="15.75" customHeight="1">
      <c r="A230" s="3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ht="15.75" customHeight="1">
      <c r="A231" s="3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ht="15.75" customHeight="1">
      <c r="A232" s="3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ht="15.75" customHeight="1">
      <c r="A233" s="3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ht="15.75" customHeight="1">
      <c r="A234" s="3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ht="15.75" customHeight="1">
      <c r="A235" s="3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ht="15.75" customHeight="1">
      <c r="A236" s="3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ht="15.75" customHeight="1">
      <c r="A237" s="3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ht="15.75" customHeight="1">
      <c r="A238" s="3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ht="15.75" customHeight="1">
      <c r="A239" s="3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ht="15.75" customHeight="1">
      <c r="A240" s="3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ht="15.75" customHeight="1">
      <c r="A241" s="3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ht="15.75" customHeight="1">
      <c r="A242" s="3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ht="15.75" customHeight="1">
      <c r="A243" s="3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ht="15.75" customHeight="1">
      <c r="A244" s="3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ht="15.75" customHeight="1">
      <c r="A245" s="3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ht="15.75" customHeight="1">
      <c r="A246" s="3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ht="15.75" customHeight="1">
      <c r="A247" s="3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ht="15.75" customHeight="1">
      <c r="A248" s="3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ht="15.75" customHeight="1">
      <c r="A249" s="3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ht="15.75" customHeight="1">
      <c r="A250" s="3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ht="15.75" customHeight="1">
      <c r="A251" s="3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ht="15.75" customHeight="1">
      <c r="A252" s="3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ht="15.75" customHeight="1">
      <c r="A253" s="3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ht="15.75" customHeight="1">
      <c r="A254" s="3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ht="15.75" customHeight="1">
      <c r="A255" s="3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ht="15.75" customHeight="1">
      <c r="A256" s="3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ht="15.75" customHeight="1">
      <c r="A257" s="3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ht="15.75" customHeight="1">
      <c r="A258" s="3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ht="15.75" customHeight="1">
      <c r="A259" s="3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ht="15.75" customHeight="1">
      <c r="A260" s="3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ht="15.75" customHeight="1">
      <c r="A261" s="3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ht="15.75" customHeight="1">
      <c r="A262" s="3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ht="15.75" customHeight="1">
      <c r="A263" s="3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ht="15.75" customHeight="1">
      <c r="A264" s="3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ht="15.75" customHeight="1">
      <c r="A265" s="3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ht="15.75" customHeight="1">
      <c r="A266" s="3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ht="15.75" customHeight="1">
      <c r="A267" s="3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ht="15.75" customHeight="1">
      <c r="A268" s="3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ht="15.75" customHeight="1">
      <c r="A269" s="3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ht="15.75" customHeight="1">
      <c r="A270" s="3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ht="15.75" customHeight="1">
      <c r="A271" s="3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ht="15.75" customHeight="1">
      <c r="A272" s="3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ht="15.75" customHeight="1">
      <c r="A273" s="3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ht="15.75" customHeight="1">
      <c r="A274" s="3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ht="15.75" customHeight="1">
      <c r="A275" s="3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ht="15.75" customHeight="1">
      <c r="A276" s="3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ht="15.75" customHeight="1">
      <c r="A277" s="3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ht="15.75" customHeight="1">
      <c r="A278" s="3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ht="15.75" customHeight="1">
      <c r="A279" s="3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ht="15.75" customHeight="1">
      <c r="A280" s="3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ht="15.75" customHeight="1">
      <c r="A281" s="3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ht="15.75" customHeight="1">
      <c r="A282" s="3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ht="15.75" customHeight="1">
      <c r="A283" s="3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ht="15.75" customHeight="1">
      <c r="A284" s="3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ht="15.75" customHeight="1">
      <c r="A285" s="3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ht="15.75" customHeight="1">
      <c r="A286" s="3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ht="15.75" customHeight="1">
      <c r="A287" s="3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ht="15.75" customHeight="1">
      <c r="A288" s="3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ht="15.75" customHeight="1">
      <c r="A289" s="3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ht="15.75" customHeight="1">
      <c r="A290" s="3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ht="15.75" customHeight="1">
      <c r="A291" s="3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ht="15.75" customHeight="1">
      <c r="A292" s="3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ht="15.75" customHeight="1">
      <c r="A293" s="3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ht="15.75" customHeight="1">
      <c r="A294" s="3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ht="15.75" customHeight="1">
      <c r="A295" s="3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ht="15.75" customHeight="1">
      <c r="A296" s="3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ht="15.75" customHeight="1">
      <c r="A297" s="3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ht="15.75" customHeight="1">
      <c r="A298" s="3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ht="15.75" customHeight="1">
      <c r="A299" s="3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ht="15.75" customHeight="1">
      <c r="A300" s="3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ht="15.75" customHeight="1">
      <c r="A301" s="3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ht="15.75" customHeight="1">
      <c r="A302" s="3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ht="15.75" customHeight="1">
      <c r="A303" s="3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ht="15.75" customHeight="1">
      <c r="A304" s="3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ht="15.75" customHeight="1">
      <c r="A305" s="3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ht="15.75" customHeight="1">
      <c r="A306" s="3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ht="15.75" customHeight="1">
      <c r="A307" s="3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ht="15.75" customHeight="1">
      <c r="A308" s="3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ht="15.75" customHeight="1">
      <c r="A309" s="3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ht="15.75" customHeight="1">
      <c r="A310" s="3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ht="15.75" customHeight="1">
      <c r="A311" s="3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ht="15.75" customHeight="1">
      <c r="A312" s="3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ht="15.75" customHeight="1">
      <c r="A313" s="3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ht="15.75" customHeight="1">
      <c r="A314" s="3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ht="15.75" customHeight="1">
      <c r="A315" s="3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ht="15.75" customHeight="1">
      <c r="A316" s="3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ht="15.75" customHeight="1">
      <c r="A317" s="3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ht="15.75" customHeight="1">
      <c r="A318" s="3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ht="15.75" customHeight="1">
      <c r="A319" s="3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ht="15.75" customHeight="1">
      <c r="A320" s="3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ht="15.75" customHeight="1">
      <c r="A321" s="3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ht="15.75" customHeight="1">
      <c r="A322" s="3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ht="15.75" customHeight="1">
      <c r="A323" s="3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ht="15.75" customHeight="1">
      <c r="A324" s="3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ht="15.75" customHeight="1">
      <c r="A325" s="3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ht="15.75" customHeight="1">
      <c r="A326" s="3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ht="15.75" customHeight="1">
      <c r="A327" s="3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ht="15.75" customHeight="1">
      <c r="A328" s="3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ht="15.75" customHeight="1">
      <c r="A329" s="3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ht="15.75" customHeight="1">
      <c r="A330" s="3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ht="15.75" customHeight="1">
      <c r="A331" s="3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ht="15.75" customHeight="1">
      <c r="A332" s="3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ht="15.75" customHeight="1">
      <c r="A333" s="3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ht="15.75" customHeight="1">
      <c r="A334" s="3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ht="15.75" customHeight="1">
      <c r="A335" s="3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ht="15.75" customHeight="1">
      <c r="A336" s="3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ht="15.75" customHeight="1">
      <c r="A337" s="3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ht="15.75" customHeight="1">
      <c r="A338" s="3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ht="15.75" customHeight="1">
      <c r="A339" s="3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ht="15.75" customHeight="1">
      <c r="A340" s="3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ht="15.75" customHeight="1">
      <c r="A341" s="3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ht="15.75" customHeight="1">
      <c r="A342" s="3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ht="15.75" customHeight="1">
      <c r="A343" s="3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ht="15.75" customHeight="1">
      <c r="A344" s="3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ht="15.75" customHeight="1">
      <c r="A345" s="3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ht="15.75" customHeight="1">
      <c r="A346" s="3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ht="15.75" customHeight="1">
      <c r="A347" s="3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ht="15.75" customHeight="1">
      <c r="A348" s="3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ht="15.75" customHeight="1">
      <c r="A349" s="3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ht="15.75" customHeight="1">
      <c r="A350" s="3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ht="15.75" customHeight="1">
      <c r="A351" s="3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ht="15.75" customHeight="1">
      <c r="A352" s="3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ht="15.75" customHeight="1">
      <c r="A353" s="3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ht="15.75" customHeight="1">
      <c r="A354" s="3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ht="15.75" customHeight="1">
      <c r="A355" s="3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ht="15.75" customHeight="1">
      <c r="A356" s="3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ht="15.75" customHeight="1">
      <c r="A357" s="3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ht="15.75" customHeight="1">
      <c r="A358" s="3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ht="15.75" customHeight="1">
      <c r="A359" s="3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ht="15.75" customHeight="1">
      <c r="A360" s="3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ht="15.75" customHeight="1">
      <c r="A361" s="3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ht="15.75" customHeight="1">
      <c r="A362" s="3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ht="15.75" customHeight="1">
      <c r="A363" s="3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ht="15.75" customHeight="1">
      <c r="A364" s="3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ht="15.75" customHeight="1">
      <c r="A365" s="3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ht="15.75" customHeight="1">
      <c r="A366" s="3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ht="15.75" customHeight="1">
      <c r="A367" s="3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ht="15.75" customHeight="1">
      <c r="A368" s="3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ht="15.75" customHeight="1">
      <c r="A369" s="3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ht="15.75" customHeight="1">
      <c r="A370" s="3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ht="15.75" customHeight="1">
      <c r="A371" s="3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ht="15.75" customHeight="1">
      <c r="A372" s="3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ht="15.75" customHeight="1">
      <c r="A373" s="3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ht="15.75" customHeight="1">
      <c r="A374" s="3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ht="15.75" customHeight="1">
      <c r="A375" s="3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ht="15.75" customHeight="1">
      <c r="A376" s="3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ht="15.75" customHeight="1">
      <c r="A377" s="3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ht="15.75" customHeight="1">
      <c r="A378" s="3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ht="15.75" customHeight="1">
      <c r="A379" s="3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ht="15.75" customHeight="1">
      <c r="A380" s="3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ht="15.75" customHeight="1">
      <c r="A381" s="3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ht="15.75" customHeight="1">
      <c r="A382" s="3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ht="15.75" customHeight="1">
      <c r="A383" s="3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ht="15.75" customHeight="1">
      <c r="A384" s="3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ht="15.75" customHeight="1">
      <c r="A385" s="3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ht="15.75" customHeight="1">
      <c r="A386" s="3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ht="15.75" customHeight="1">
      <c r="A387" s="3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ht="15.75" customHeight="1">
      <c r="A388" s="3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ht="15.75" customHeight="1">
      <c r="A389" s="3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ht="15.75" customHeight="1">
      <c r="A390" s="3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ht="15.75" customHeight="1">
      <c r="A391" s="3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ht="15.75" customHeight="1">
      <c r="A392" s="3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ht="15.75" customHeight="1">
      <c r="A393" s="3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ht="15.75" customHeight="1">
      <c r="A394" s="3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ht="15.75" customHeight="1">
      <c r="A395" s="3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ht="15.75" customHeight="1">
      <c r="A396" s="3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ht="15.75" customHeight="1">
      <c r="A397" s="3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ht="15.75" customHeight="1">
      <c r="A398" s="3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ht="15.75" customHeight="1">
      <c r="A399" s="3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ht="15.75" customHeight="1">
      <c r="A400" s="3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ht="15.75" customHeight="1">
      <c r="A401" s="3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ht="15.75" customHeight="1">
      <c r="A402" s="3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ht="15.75" customHeight="1">
      <c r="A403" s="3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ht="15.75" customHeight="1">
      <c r="A404" s="3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ht="15.75" customHeight="1">
      <c r="A405" s="3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ht="15.75" customHeight="1">
      <c r="A406" s="3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ht="15.75" customHeight="1">
      <c r="A407" s="3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ht="15.75" customHeight="1">
      <c r="A408" s="3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ht="15.75" customHeight="1">
      <c r="A409" s="3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ht="15.75" customHeight="1">
      <c r="A410" s="3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ht="15.75" customHeight="1">
      <c r="A411" s="3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ht="15.75" customHeight="1">
      <c r="A412" s="3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ht="15.75" customHeight="1">
      <c r="A413" s="3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ht="15.75" customHeight="1">
      <c r="A414" s="3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ht="15.75" customHeight="1">
      <c r="A415" s="3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ht="15.75" customHeight="1">
      <c r="A416" s="3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ht="15.75" customHeight="1">
      <c r="A417" s="3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ht="15.75" customHeight="1">
      <c r="A418" s="3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ht="15.75" customHeight="1">
      <c r="A419" s="3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ht="15.75" customHeight="1">
      <c r="A420" s="3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ht="15.75" customHeight="1">
      <c r="A421" s="3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ht="15.75" customHeight="1">
      <c r="A422" s="3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ht="15.75" customHeight="1">
      <c r="A423" s="3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ht="15.75" customHeight="1">
      <c r="A424" s="3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ht="15.75" customHeight="1">
      <c r="A425" s="3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ht="15.75" customHeight="1">
      <c r="A426" s="3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ht="15.75" customHeight="1">
      <c r="A427" s="3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ht="15.75" customHeight="1">
      <c r="A428" s="3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ht="15.75" customHeight="1">
      <c r="A429" s="3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ht="15.75" customHeight="1">
      <c r="A430" s="3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ht="15.75" customHeight="1">
      <c r="A431" s="3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ht="15.75" customHeight="1">
      <c r="A432" s="3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ht="15.75" customHeight="1">
      <c r="A433" s="3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ht="15.75" customHeight="1">
      <c r="A434" s="3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ht="15.75" customHeight="1">
      <c r="A435" s="3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ht="15.75" customHeight="1">
      <c r="A436" s="3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ht="15.75" customHeight="1">
      <c r="A437" s="3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ht="15.75" customHeight="1">
      <c r="A438" s="3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ht="15.75" customHeight="1">
      <c r="A439" s="3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ht="15.75" customHeight="1">
      <c r="A440" s="3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ht="15.75" customHeight="1">
      <c r="A441" s="3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ht="15.75" customHeight="1">
      <c r="A442" s="3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ht="15.75" customHeight="1">
      <c r="A443" s="3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ht="15.75" customHeight="1">
      <c r="A444" s="3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ht="15.75" customHeight="1">
      <c r="A445" s="3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ht="15.75" customHeight="1">
      <c r="A446" s="3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ht="15.75" customHeight="1">
      <c r="A447" s="3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ht="15.75" customHeight="1">
      <c r="A448" s="3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ht="15.75" customHeight="1">
      <c r="A449" s="3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ht="15.75" customHeight="1">
      <c r="A450" s="3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ht="15.75" customHeight="1">
      <c r="A451" s="3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ht="15.75" customHeight="1">
      <c r="A452" s="3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ht="15.75" customHeight="1">
      <c r="A453" s="3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ht="15.75" customHeight="1">
      <c r="A454" s="3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ht="15.75" customHeight="1">
      <c r="A455" s="3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ht="15.75" customHeight="1">
      <c r="A456" s="3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ht="15.75" customHeight="1">
      <c r="A457" s="3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ht="15.75" customHeight="1">
      <c r="A458" s="3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ht="15.75" customHeight="1">
      <c r="A459" s="3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ht="15.75" customHeight="1">
      <c r="A460" s="3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ht="15.75" customHeight="1">
      <c r="A461" s="3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ht="15.75" customHeight="1">
      <c r="A462" s="3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ht="15.75" customHeight="1">
      <c r="A463" s="3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ht="15.75" customHeight="1">
      <c r="A464" s="3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ht="15.75" customHeight="1">
      <c r="A465" s="3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ht="15.75" customHeight="1">
      <c r="A466" s="3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ht="15.75" customHeight="1">
      <c r="A467" s="3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ht="15.75" customHeight="1">
      <c r="A468" s="3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ht="15.75" customHeight="1">
      <c r="A469" s="3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ht="15.75" customHeight="1">
      <c r="A470" s="3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ht="15.75" customHeight="1">
      <c r="A471" s="3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ht="15.75" customHeight="1">
      <c r="A472" s="3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ht="15.75" customHeight="1">
      <c r="A473" s="3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ht="15.75" customHeight="1">
      <c r="A474" s="3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ht="15.75" customHeight="1">
      <c r="A475" s="3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ht="15.75" customHeight="1">
      <c r="A476" s="3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ht="15.75" customHeight="1">
      <c r="A477" s="3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ht="15.75" customHeight="1">
      <c r="A478" s="3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ht="15.75" customHeight="1">
      <c r="A479" s="3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ht="15.75" customHeight="1">
      <c r="A480" s="3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ht="15.75" customHeight="1">
      <c r="A481" s="3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ht="15.75" customHeight="1">
      <c r="A482" s="3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ht="15.75" customHeight="1">
      <c r="A483" s="3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ht="15.75" customHeight="1">
      <c r="A484" s="3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ht="15.75" customHeight="1">
      <c r="A485" s="3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ht="15.75" customHeight="1">
      <c r="A486" s="3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ht="15.75" customHeight="1">
      <c r="A487" s="3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ht="15.75" customHeight="1">
      <c r="A488" s="3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ht="15.75" customHeight="1">
      <c r="A489" s="3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ht="15.75" customHeight="1">
      <c r="A490" s="3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ht="15.75" customHeight="1">
      <c r="A491" s="3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ht="15.75" customHeight="1">
      <c r="A492" s="3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ht="15.75" customHeight="1">
      <c r="A493" s="3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ht="15.75" customHeight="1">
      <c r="A494" s="3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ht="15.75" customHeight="1">
      <c r="A495" s="3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ht="15.75" customHeight="1">
      <c r="A496" s="3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ht="15.75" customHeight="1">
      <c r="A497" s="3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ht="15.75" customHeight="1">
      <c r="A498" s="3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ht="15.75" customHeight="1">
      <c r="A499" s="3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ht="15.75" customHeight="1">
      <c r="A500" s="3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ht="15.75" customHeight="1">
      <c r="A501" s="3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ht="15.75" customHeight="1">
      <c r="A502" s="3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ht="15.75" customHeight="1">
      <c r="A503" s="3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ht="15.75" customHeight="1">
      <c r="A504" s="3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ht="15.75" customHeight="1">
      <c r="A505" s="3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ht="15.75" customHeight="1">
      <c r="A506" s="3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ht="15.75" customHeight="1">
      <c r="A507" s="3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ht="15.75" customHeight="1">
      <c r="A508" s="3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ht="15.75" customHeight="1">
      <c r="A509" s="3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ht="15.75" customHeight="1">
      <c r="A510" s="3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ht="15.75" customHeight="1">
      <c r="A511" s="3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ht="15.75" customHeight="1">
      <c r="A512" s="3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ht="15.75" customHeight="1">
      <c r="A513" s="3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ht="15.75" customHeight="1">
      <c r="A514" s="3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ht="15.75" customHeight="1">
      <c r="A515" s="3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ht="15.75" customHeight="1">
      <c r="A516" s="3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ht="15.75" customHeight="1">
      <c r="A517" s="3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ht="15.75" customHeight="1">
      <c r="A518" s="3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ht="15.75" customHeight="1">
      <c r="A519" s="3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ht="15.75" customHeight="1">
      <c r="A520" s="3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ht="15.75" customHeight="1">
      <c r="A521" s="3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ht="15.75" customHeight="1">
      <c r="A522" s="3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ht="15.75" customHeight="1">
      <c r="A523" s="3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ht="15.75" customHeight="1">
      <c r="A524" s="3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ht="15.75" customHeight="1">
      <c r="A525" s="3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ht="15.75" customHeight="1">
      <c r="A526" s="3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ht="15.75" customHeight="1">
      <c r="A527" s="3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ht="15.75" customHeight="1">
      <c r="A528" s="3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ht="15.75" customHeight="1">
      <c r="A529" s="3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ht="15.75" customHeight="1">
      <c r="A530" s="3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ht="15.75" customHeight="1">
      <c r="A531" s="3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ht="15.75" customHeight="1">
      <c r="A532" s="3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ht="15.75" customHeight="1">
      <c r="A533" s="3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ht="15.75" customHeight="1">
      <c r="A534" s="3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ht="15.75" customHeight="1">
      <c r="A535" s="3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ht="15.75" customHeight="1">
      <c r="A536" s="3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ht="15.75" customHeight="1">
      <c r="A537" s="3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ht="15.75" customHeight="1">
      <c r="A538" s="3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ht="15.75" customHeight="1">
      <c r="A539" s="3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ht="15.75" customHeight="1">
      <c r="A540" s="3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ht="15.75" customHeight="1">
      <c r="A541" s="3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ht="15.75" customHeight="1">
      <c r="A542" s="3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ht="15.75" customHeight="1">
      <c r="A543" s="3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ht="15.75" customHeight="1">
      <c r="A544" s="3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ht="15.75" customHeight="1">
      <c r="A545" s="3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ht="15.75" customHeight="1">
      <c r="A546" s="3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ht="15.75" customHeight="1">
      <c r="A547" s="3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ht="15.75" customHeight="1">
      <c r="A548" s="3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ht="15.75" customHeight="1">
      <c r="A549" s="3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ht="15.75" customHeight="1">
      <c r="A550" s="3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ht="15.75" customHeight="1">
      <c r="A551" s="3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ht="15.75" customHeight="1">
      <c r="A552" s="3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ht="15.75" customHeight="1">
      <c r="A553" s="3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ht="15.75" customHeight="1">
      <c r="A554" s="3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ht="15.75" customHeight="1">
      <c r="A555" s="3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ht="15.75" customHeight="1">
      <c r="A556" s="3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ht="15.75" customHeight="1">
      <c r="A557" s="3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ht="15.75" customHeight="1">
      <c r="A558" s="3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ht="15.75" customHeight="1">
      <c r="A559" s="3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ht="15.75" customHeight="1">
      <c r="A560" s="3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ht="15.75" customHeight="1">
      <c r="A561" s="3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ht="15.75" customHeight="1">
      <c r="A562" s="3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ht="15.75" customHeight="1">
      <c r="A563" s="3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ht="15.75" customHeight="1">
      <c r="A564" s="3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ht="15.75" customHeight="1">
      <c r="A565" s="3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ht="15.75" customHeight="1">
      <c r="A566" s="3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ht="15.75" customHeight="1">
      <c r="A567" s="3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ht="15.75" customHeight="1">
      <c r="A568" s="3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ht="15.75" customHeight="1">
      <c r="A569" s="3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ht="15.75" customHeight="1">
      <c r="A570" s="3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ht="15.75" customHeight="1">
      <c r="A571" s="3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ht="15.75" customHeight="1">
      <c r="A572" s="3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ht="15.75" customHeight="1">
      <c r="A573" s="3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ht="15.75" customHeight="1">
      <c r="A574" s="3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ht="15.75" customHeight="1">
      <c r="A575" s="3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ht="15.75" customHeight="1">
      <c r="A576" s="3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ht="15.75" customHeight="1">
      <c r="A577" s="3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ht="15.75" customHeight="1">
      <c r="A578" s="3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ht="15.75" customHeight="1">
      <c r="A579" s="3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ht="15.75" customHeight="1">
      <c r="A580" s="3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ht="15.75" customHeight="1">
      <c r="A581" s="3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ht="15.75" customHeight="1">
      <c r="A582" s="3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ht="15.75" customHeight="1">
      <c r="A583" s="3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ht="15.75" customHeight="1">
      <c r="A584" s="3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ht="15.75" customHeight="1">
      <c r="A585" s="3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ht="15.75" customHeight="1">
      <c r="A586" s="3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ht="15.75" customHeight="1">
      <c r="A587" s="3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ht="15.75" customHeight="1">
      <c r="A588" s="3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ht="15.75" customHeight="1">
      <c r="A589" s="3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ht="15.75" customHeight="1">
      <c r="A590" s="3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ht="15.75" customHeight="1">
      <c r="A591" s="3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ht="15.75" customHeight="1">
      <c r="A592" s="3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ht="15.75" customHeight="1">
      <c r="A593" s="3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ht="15.75" customHeight="1">
      <c r="A594" s="3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ht="15.75" customHeight="1">
      <c r="A595" s="3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ht="15.75" customHeight="1">
      <c r="A596" s="3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ht="15.75" customHeight="1">
      <c r="A597" s="3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ht="15.75" customHeight="1">
      <c r="A598" s="3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ht="15.75" customHeight="1">
      <c r="A599" s="3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ht="15.75" customHeight="1">
      <c r="A600" s="3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ht="15.75" customHeight="1">
      <c r="A601" s="3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ht="15.75" customHeight="1">
      <c r="A602" s="3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ht="15.75" customHeight="1">
      <c r="A603" s="3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ht="15.75" customHeight="1">
      <c r="A604" s="3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ht="15.75" customHeight="1">
      <c r="A605" s="3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ht="15.75" customHeight="1">
      <c r="A606" s="3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ht="15.75" customHeight="1">
      <c r="A607" s="3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ht="15.75" customHeight="1">
      <c r="A608" s="3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ht="15.75" customHeight="1">
      <c r="A609" s="3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ht="15.75" customHeight="1">
      <c r="A610" s="3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ht="15.75" customHeight="1">
      <c r="A611" s="3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ht="15.75" customHeight="1">
      <c r="A612" s="3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ht="15.75" customHeight="1">
      <c r="A613" s="3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ht="15.75" customHeight="1">
      <c r="A614" s="3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ht="15.75" customHeight="1">
      <c r="A615" s="3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ht="15.75" customHeight="1">
      <c r="A616" s="3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ht="15.75" customHeight="1">
      <c r="A617" s="3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ht="15.75" customHeight="1">
      <c r="A618" s="3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ht="15.75" customHeight="1">
      <c r="A619" s="3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ht="15.75" customHeight="1">
      <c r="A620" s="3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ht="15.75" customHeight="1">
      <c r="A621" s="3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ht="15.75" customHeight="1">
      <c r="A622" s="3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ht="15.75" customHeight="1">
      <c r="A623" s="3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ht="15.75" customHeight="1">
      <c r="A624" s="3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ht="15.75" customHeight="1">
      <c r="A625" s="3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ht="15.75" customHeight="1">
      <c r="A626" s="3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ht="15.75" customHeight="1">
      <c r="A627" s="3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ht="15.75" customHeight="1">
      <c r="A628" s="3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ht="15.75" customHeight="1">
      <c r="A629" s="3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ht="15.75" customHeight="1">
      <c r="A630" s="3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ht="15.75" customHeight="1">
      <c r="A631" s="3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ht="15.75" customHeight="1">
      <c r="A632" s="3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ht="15.75" customHeight="1">
      <c r="A633" s="3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ht="15.75" customHeight="1">
      <c r="A634" s="3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ht="15.75" customHeight="1">
      <c r="A635" s="3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ht="15.75" customHeight="1">
      <c r="A636" s="3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ht="15.75" customHeight="1">
      <c r="A637" s="3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ht="15.75" customHeight="1">
      <c r="A638" s="3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ht="15.75" customHeight="1">
      <c r="A639" s="3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ht="15.75" customHeight="1">
      <c r="A640" s="3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ht="15.75" customHeight="1">
      <c r="A641" s="3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ht="15.75" customHeight="1">
      <c r="A642" s="3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ht="15.75" customHeight="1">
      <c r="A643" s="3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ht="15.75" customHeight="1">
      <c r="A644" s="3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ht="15.75" customHeight="1">
      <c r="A645" s="3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ht="15.75" customHeight="1">
      <c r="A646" s="3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ht="15.75" customHeight="1">
      <c r="A647" s="3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ht="15.75" customHeight="1">
      <c r="A648" s="3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ht="15.75" customHeight="1">
      <c r="A649" s="3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ht="15.75" customHeight="1">
      <c r="A650" s="3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ht="15.75" customHeight="1">
      <c r="A651" s="3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ht="15.75" customHeight="1">
      <c r="A652" s="3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ht="15.75" customHeight="1">
      <c r="A653" s="3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ht="15.75" customHeight="1">
      <c r="A654" s="3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ht="15.75" customHeight="1">
      <c r="A655" s="3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ht="15.75" customHeight="1">
      <c r="A656" s="3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ht="15.75" customHeight="1">
      <c r="A657" s="3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ht="15.75" customHeight="1">
      <c r="A658" s="3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ht="15.75" customHeight="1">
      <c r="A659" s="3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ht="15.75" customHeight="1">
      <c r="A660" s="3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ht="15.75" customHeight="1">
      <c r="A661" s="3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ht="15.75" customHeight="1">
      <c r="A662" s="3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ht="15.75" customHeight="1">
      <c r="A663" s="3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ht="15.75" customHeight="1">
      <c r="A664" s="3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ht="15.75" customHeight="1">
      <c r="A665" s="3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ht="15.75" customHeight="1">
      <c r="A666" s="3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ht="15.75" customHeight="1">
      <c r="A667" s="3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ht="15.75" customHeight="1">
      <c r="A668" s="3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ht="15.75" customHeight="1">
      <c r="A669" s="3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ht="15.75" customHeight="1">
      <c r="A670" s="3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ht="15.75" customHeight="1">
      <c r="A671" s="3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ht="15.75" customHeight="1">
      <c r="A672" s="3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ht="15.75" customHeight="1">
      <c r="A673" s="3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ht="15.75" customHeight="1">
      <c r="A674" s="3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ht="15.75" customHeight="1">
      <c r="A675" s="3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ht="15.75" customHeight="1">
      <c r="A676" s="3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ht="15.75" customHeight="1">
      <c r="A677" s="3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ht="15.75" customHeight="1">
      <c r="A678" s="3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ht="15.75" customHeight="1">
      <c r="A679" s="3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ht="15.75" customHeight="1">
      <c r="A680" s="3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ht="15.75" customHeight="1">
      <c r="A681" s="3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ht="15.75" customHeight="1">
      <c r="A682" s="3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ht="15.75" customHeight="1">
      <c r="A683" s="3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ht="15.75" customHeight="1">
      <c r="A684" s="3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ht="15.75" customHeight="1">
      <c r="A685" s="3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ht="15.75" customHeight="1">
      <c r="A686" s="3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ht="15.75" customHeight="1">
      <c r="A687" s="3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ht="15.75" customHeight="1">
      <c r="A688" s="3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ht="15.75" customHeight="1">
      <c r="A689" s="3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ht="15.75" customHeight="1">
      <c r="A690" s="3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ht="15.75" customHeight="1">
      <c r="A691" s="3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ht="15.75" customHeight="1">
      <c r="A692" s="3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ht="15.75" customHeight="1">
      <c r="A693" s="3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ht="15.75" customHeight="1">
      <c r="A694" s="3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ht="15.75" customHeight="1">
      <c r="A695" s="3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ht="15.75" customHeight="1">
      <c r="A696" s="3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ht="15.75" customHeight="1">
      <c r="A697" s="3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ht="15.75" customHeight="1">
      <c r="A698" s="3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ht="15.75" customHeight="1">
      <c r="A699" s="3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ht="15.75" customHeight="1">
      <c r="A700" s="3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ht="15.75" customHeight="1">
      <c r="A701" s="3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ht="15.75" customHeight="1">
      <c r="A702" s="3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ht="15.75" customHeight="1">
      <c r="A703" s="3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ht="15.75" customHeight="1">
      <c r="A704" s="3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ht="15.75" customHeight="1">
      <c r="A705" s="3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ht="15.75" customHeight="1">
      <c r="A706" s="3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ht="15.75" customHeight="1">
      <c r="A707" s="3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ht="15.75" customHeight="1">
      <c r="A708" s="3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ht="15.75" customHeight="1">
      <c r="A709" s="3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ht="15.75" customHeight="1">
      <c r="A710" s="3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ht="15.75" customHeight="1">
      <c r="A711" s="3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ht="15.75" customHeight="1">
      <c r="A712" s="3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ht="15.75" customHeight="1">
      <c r="A713" s="3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ht="15.75" customHeight="1">
      <c r="A714" s="3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ht="15.75" customHeight="1">
      <c r="A715" s="3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ht="15.75" customHeight="1">
      <c r="A716" s="3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ht="15.75" customHeight="1">
      <c r="A717" s="3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ht="15.75" customHeight="1">
      <c r="A718" s="3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ht="15.75" customHeight="1">
      <c r="A719" s="3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ht="15.75" customHeight="1">
      <c r="A720" s="3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ht="15.75" customHeight="1">
      <c r="A721" s="3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ht="15.75" customHeight="1">
      <c r="A722" s="3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ht="15.75" customHeight="1">
      <c r="A723" s="3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ht="15.75" customHeight="1">
      <c r="A724" s="3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ht="15.75" customHeight="1">
      <c r="A725" s="3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ht="15.75" customHeight="1">
      <c r="A726" s="3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ht="15.75" customHeight="1">
      <c r="A727" s="3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ht="15.75" customHeight="1">
      <c r="A728" s="3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ht="15.75" customHeight="1">
      <c r="A729" s="3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ht="15.75" customHeight="1">
      <c r="A730" s="3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ht="15.75" customHeight="1">
      <c r="A731" s="3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ht="15.75" customHeight="1">
      <c r="A732" s="3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ht="15.75" customHeight="1">
      <c r="A733" s="3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ht="15.75" customHeight="1">
      <c r="A734" s="3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ht="15.75" customHeight="1">
      <c r="A735" s="3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ht="15.75" customHeight="1">
      <c r="A736" s="3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ht="15.75" customHeight="1">
      <c r="A737" s="3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ht="15.75" customHeight="1">
      <c r="A738" s="3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ht="15.75" customHeight="1">
      <c r="A739" s="3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ht="15.75" customHeight="1">
      <c r="A740" s="3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ht="15.75" customHeight="1">
      <c r="A741" s="3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ht="15.75" customHeight="1">
      <c r="A742" s="3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ht="15.75" customHeight="1">
      <c r="A743" s="3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ht="15.75" customHeight="1">
      <c r="A744" s="3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ht="15.75" customHeight="1">
      <c r="A745" s="3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ht="15.75" customHeight="1">
      <c r="A746" s="3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ht="15.75" customHeight="1">
      <c r="A747" s="3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ht="15.75" customHeight="1">
      <c r="A748" s="3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ht="15.75" customHeight="1">
      <c r="A749" s="3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ht="15.75" customHeight="1">
      <c r="A750" s="3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ht="15.75" customHeight="1">
      <c r="A751" s="3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ht="15.75" customHeight="1">
      <c r="A752" s="3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ht="15.75" customHeight="1">
      <c r="A753" s="3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ht="15.75" customHeight="1">
      <c r="A754" s="3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ht="15.75" customHeight="1">
      <c r="A755" s="3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ht="15.75" customHeight="1">
      <c r="A756" s="3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ht="15.75" customHeight="1">
      <c r="A757" s="3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ht="15.75" customHeight="1">
      <c r="A758" s="3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ht="15.75" customHeight="1">
      <c r="A759" s="3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ht="15.75" customHeight="1">
      <c r="A760" s="3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ht="15.75" customHeight="1">
      <c r="A761" s="3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ht="15.75" customHeight="1">
      <c r="A762" s="3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ht="15.75" customHeight="1">
      <c r="A763" s="3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ht="15.75" customHeight="1">
      <c r="A764" s="3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ht="15.75" customHeight="1">
      <c r="A765" s="3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ht="15.75" customHeight="1">
      <c r="A766" s="3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ht="15.75" customHeight="1">
      <c r="A767" s="3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ht="15.75" customHeight="1">
      <c r="A768" s="3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ht="15.75" customHeight="1">
      <c r="A769" s="3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ht="15.75" customHeight="1">
      <c r="A770" s="3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ht="15.75" customHeight="1">
      <c r="A771" s="3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ht="15.75" customHeight="1">
      <c r="A772" s="3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ht="15.75" customHeight="1">
      <c r="A773" s="3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ht="15.75" customHeight="1">
      <c r="A774" s="3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ht="15.75" customHeight="1">
      <c r="A775" s="3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ht="15.75" customHeight="1">
      <c r="A776" s="3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ht="15.75" customHeight="1">
      <c r="A777" s="3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ht="15.75" customHeight="1">
      <c r="A778" s="3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ht="15.75" customHeight="1">
      <c r="A779" s="3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ht="15.75" customHeight="1">
      <c r="A780" s="3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ht="15.75" customHeight="1">
      <c r="A781" s="3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ht="15.75" customHeight="1">
      <c r="A782" s="3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ht="15.75" customHeight="1">
      <c r="A783" s="3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ht="15.75" customHeight="1">
      <c r="A784" s="3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ht="15.75" customHeight="1">
      <c r="A785" s="3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ht="15.75" customHeight="1">
      <c r="A786" s="3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ht="15.75" customHeight="1">
      <c r="A787" s="3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ht="15.75" customHeight="1">
      <c r="A788" s="3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ht="15.75" customHeight="1">
      <c r="A789" s="3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ht="15.75" customHeight="1">
      <c r="A790" s="3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ht="15.75" customHeight="1">
      <c r="A791" s="3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ht="15.75" customHeight="1">
      <c r="A792" s="3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ht="15.75" customHeight="1">
      <c r="A793" s="3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ht="15.75" customHeight="1">
      <c r="A794" s="3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ht="15.75" customHeight="1">
      <c r="A795" s="3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ht="15.75" customHeight="1">
      <c r="A796" s="3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ht="15.75" customHeight="1">
      <c r="A797" s="3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ht="15.75" customHeight="1">
      <c r="A798" s="3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ht="15.75" customHeight="1">
      <c r="A799" s="3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ht="15.75" customHeight="1">
      <c r="A800" s="3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ht="15.75" customHeight="1">
      <c r="A801" s="3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ht="15.75" customHeight="1">
      <c r="A802" s="3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ht="15.75" customHeight="1">
      <c r="A803" s="3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ht="15.75" customHeight="1">
      <c r="A804" s="3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ht="15.75" customHeight="1">
      <c r="A805" s="3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ht="15.75" customHeight="1">
      <c r="A806" s="3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ht="15.75" customHeight="1">
      <c r="A807" s="3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ht="15.75" customHeight="1">
      <c r="A808" s="3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ht="15.75" customHeight="1">
      <c r="A809" s="3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ht="15.75" customHeight="1">
      <c r="A810" s="3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ht="15.75" customHeight="1">
      <c r="A811" s="3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ht="15.75" customHeight="1">
      <c r="A812" s="3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ht="15.75" customHeight="1">
      <c r="A813" s="3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ht="15.75" customHeight="1">
      <c r="A814" s="3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ht="15.75" customHeight="1">
      <c r="A815" s="3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ht="15.75" customHeight="1">
      <c r="A816" s="3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ht="15.75" customHeight="1">
      <c r="A817" s="3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ht="15.75" customHeight="1">
      <c r="A818" s="3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ht="15.75" customHeight="1">
      <c r="A819" s="3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ht="15.75" customHeight="1">
      <c r="A820" s="3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ht="15.75" customHeight="1">
      <c r="A821" s="3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ht="15.75" customHeight="1">
      <c r="A822" s="3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ht="15.75" customHeight="1">
      <c r="A823" s="3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ht="15.75" customHeight="1">
      <c r="A824" s="3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ht="15.75" customHeight="1">
      <c r="A825" s="3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ht="15.75" customHeight="1">
      <c r="A826" s="3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ht="15.75" customHeight="1">
      <c r="A827" s="3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ht="15.75" customHeight="1">
      <c r="A828" s="3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ht="15.75" customHeight="1">
      <c r="A829" s="3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ht="15.75" customHeight="1">
      <c r="A830" s="3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ht="15.75" customHeight="1">
      <c r="A831" s="3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ht="15.75" customHeight="1">
      <c r="A832" s="3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ht="15.75" customHeight="1">
      <c r="A833" s="3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ht="15.75" customHeight="1">
      <c r="A834" s="3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ht="15.75" customHeight="1">
      <c r="A835" s="3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ht="15.75" customHeight="1">
      <c r="A836" s="3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ht="15.75" customHeight="1">
      <c r="A837" s="3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ht="15.75" customHeight="1">
      <c r="A838" s="3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ht="15.75" customHeight="1">
      <c r="A839" s="3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ht="15.75" customHeight="1">
      <c r="A840" s="3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ht="15.75" customHeight="1">
      <c r="A841" s="3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ht="15.75" customHeight="1">
      <c r="A842" s="3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ht="15.75" customHeight="1">
      <c r="A843" s="3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ht="15.75" customHeight="1">
      <c r="A844" s="3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ht="15.75" customHeight="1">
      <c r="A845" s="3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ht="15.75" customHeight="1">
      <c r="A846" s="3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ht="15.75" customHeight="1">
      <c r="A847" s="3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ht="15.75" customHeight="1">
      <c r="A848" s="3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ht="15.75" customHeight="1">
      <c r="A849" s="3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ht="15.75" customHeight="1">
      <c r="A850" s="3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ht="15.75" customHeight="1">
      <c r="A851" s="3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ht="15.75" customHeight="1">
      <c r="A852" s="3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ht="15.75" customHeight="1">
      <c r="A853" s="3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ht="15.75" customHeight="1">
      <c r="A854" s="3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ht="15.75" customHeight="1">
      <c r="A855" s="3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ht="15.75" customHeight="1">
      <c r="A856" s="3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ht="15.75" customHeight="1">
      <c r="A857" s="3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ht="15.75" customHeight="1">
      <c r="A858" s="3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ht="15.75" customHeight="1">
      <c r="A859" s="3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ht="15.75" customHeight="1">
      <c r="A860" s="3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ht="15.75" customHeight="1">
      <c r="A861" s="3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ht="15.75" customHeight="1">
      <c r="A862" s="3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ht="15.75" customHeight="1">
      <c r="A863" s="3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ht="15.75" customHeight="1">
      <c r="A864" s="3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ht="15.75" customHeight="1">
      <c r="A865" s="3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ht="15.75" customHeight="1">
      <c r="A866" s="3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ht="15.75" customHeight="1">
      <c r="A867" s="3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ht="15.75" customHeight="1">
      <c r="A868" s="3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ht="15.75" customHeight="1">
      <c r="A869" s="3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ht="15.75" customHeight="1">
      <c r="A870" s="3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ht="15.75" customHeight="1">
      <c r="A871" s="3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ht="15.75" customHeight="1">
      <c r="A872" s="3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ht="15.75" customHeight="1">
      <c r="A873" s="3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ht="15.75" customHeight="1">
      <c r="A874" s="3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ht="15.75" customHeight="1">
      <c r="A875" s="3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ht="15.75" customHeight="1">
      <c r="A876" s="3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ht="15.75" customHeight="1">
      <c r="A877" s="3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ht="15.75" customHeight="1">
      <c r="A878" s="3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ht="15.75" customHeight="1">
      <c r="A879" s="3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ht="15.75" customHeight="1">
      <c r="A880" s="3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ht="15.75" customHeight="1">
      <c r="A881" s="3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ht="15.75" customHeight="1">
      <c r="A882" s="3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ht="15.75" customHeight="1">
      <c r="A883" s="3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ht="15.75" customHeight="1">
      <c r="A884" s="3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ht="15.75" customHeight="1">
      <c r="A885" s="3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ht="15.75" customHeight="1">
      <c r="A886" s="3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ht="15.75" customHeight="1">
      <c r="A887" s="3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ht="15.75" customHeight="1">
      <c r="A888" s="3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ht="15.75" customHeight="1">
      <c r="A889" s="3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ht="15.75" customHeight="1">
      <c r="A890" s="3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ht="15.75" customHeight="1">
      <c r="A891" s="3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ht="15.75" customHeight="1">
      <c r="A892" s="3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ht="15.75" customHeight="1">
      <c r="A893" s="3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ht="15.75" customHeight="1">
      <c r="A894" s="3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ht="15.75" customHeight="1">
      <c r="A895" s="3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ht="15.75" customHeight="1">
      <c r="A896" s="3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ht="15.75" customHeight="1">
      <c r="A897" s="3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ht="15.75" customHeight="1">
      <c r="A898" s="3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ht="15.75" customHeight="1">
      <c r="A899" s="3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ht="15.75" customHeight="1">
      <c r="A900" s="3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ht="15.75" customHeight="1">
      <c r="A901" s="3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ht="15.75" customHeight="1">
      <c r="A902" s="3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ht="15.75" customHeight="1">
      <c r="A903" s="3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ht="15.75" customHeight="1">
      <c r="A904" s="3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ht="15.75" customHeight="1">
      <c r="A905" s="3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ht="15.75" customHeight="1">
      <c r="A906" s="3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ht="15.75" customHeight="1">
      <c r="A907" s="3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ht="15.75" customHeight="1">
      <c r="A908" s="3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ht="15.75" customHeight="1">
      <c r="A909" s="3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ht="15.75" customHeight="1">
      <c r="A910" s="3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ht="15.75" customHeight="1">
      <c r="A911" s="3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ht="15.75" customHeight="1">
      <c r="A912" s="3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ht="15.75" customHeight="1">
      <c r="A913" s="3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ht="15.75" customHeight="1">
      <c r="A914" s="3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ht="15.75" customHeight="1">
      <c r="A915" s="3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ht="15.75" customHeight="1">
      <c r="A916" s="3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ht="15.75" customHeight="1">
      <c r="A917" s="3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ht="15.75" customHeight="1">
      <c r="A918" s="3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ht="15.75" customHeight="1">
      <c r="A919" s="3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ht="15.75" customHeight="1">
      <c r="A920" s="3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ht="15.75" customHeight="1">
      <c r="A921" s="3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ht="15.75" customHeight="1">
      <c r="A922" s="3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ht="15.75" customHeight="1">
      <c r="A923" s="3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ht="15.75" customHeight="1">
      <c r="A924" s="3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ht="15.75" customHeight="1">
      <c r="A925" s="3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ht="15.75" customHeight="1">
      <c r="A926" s="3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ht="15.75" customHeight="1">
      <c r="A927" s="3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ht="15.75" customHeight="1">
      <c r="A928" s="3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ht="15.75" customHeight="1">
      <c r="A929" s="3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ht="15.75" customHeight="1">
      <c r="A930" s="3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ht="15.75" customHeight="1">
      <c r="A931" s="3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ht="15.75" customHeight="1">
      <c r="A932" s="3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ht="15.75" customHeight="1">
      <c r="A933" s="3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ht="15.75" customHeight="1">
      <c r="A934" s="3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ht="15.75" customHeight="1">
      <c r="A935" s="3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ht="15.75" customHeight="1">
      <c r="A936" s="3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ht="15.75" customHeight="1">
      <c r="A937" s="3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ht="15.75" customHeight="1">
      <c r="A938" s="3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ht="15.75" customHeight="1">
      <c r="A939" s="3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ht="15.75" customHeight="1">
      <c r="A940" s="3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ht="15.75" customHeight="1">
      <c r="A941" s="3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ht="15.75" customHeight="1">
      <c r="A942" s="3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ht="15.75" customHeight="1">
      <c r="A943" s="3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ht="15.75" customHeight="1">
      <c r="A944" s="3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ht="15.75" customHeight="1">
      <c r="A945" s="3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ht="15.75" customHeight="1">
      <c r="A946" s="3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ht="15.75" customHeight="1">
      <c r="A947" s="3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ht="15.75" customHeight="1">
      <c r="A948" s="3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ht="15.75" customHeight="1">
      <c r="A949" s="3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ht="15.75" customHeight="1">
      <c r="A950" s="3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ht="15.75" customHeight="1">
      <c r="A951" s="3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ht="15.75" customHeight="1">
      <c r="A952" s="3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ht="15.75" customHeight="1">
      <c r="A953" s="3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ht="15.75" customHeight="1">
      <c r="A954" s="3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ht="15.75" customHeight="1">
      <c r="A955" s="3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ht="15.75" customHeight="1">
      <c r="A956" s="3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ht="15.75" customHeight="1">
      <c r="A957" s="3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ht="15.75" customHeight="1">
      <c r="A958" s="3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ht="15.75" customHeight="1">
      <c r="A959" s="3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ht="15.75" customHeight="1">
      <c r="A960" s="3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ht="15.75" customHeight="1">
      <c r="A961" s="3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ht="15.75" customHeight="1">
      <c r="A962" s="3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ht="15.75" customHeight="1">
      <c r="A963" s="3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ht="15.75" customHeight="1">
      <c r="A964" s="3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ht="15.75" customHeight="1">
      <c r="A965" s="3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ht="15.75" customHeight="1">
      <c r="A966" s="3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ht="15.75" customHeight="1">
      <c r="A967" s="3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ht="15.75" customHeight="1">
      <c r="A968" s="3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 ht="15.75" customHeight="1">
      <c r="A969" s="3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</row>
    <row r="970" ht="15.75" customHeight="1">
      <c r="A970" s="3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</row>
    <row r="971" ht="15.75" customHeight="1">
      <c r="A971" s="3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 ht="15.75" customHeight="1">
      <c r="A972" s="3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</row>
    <row r="973" ht="15.75" customHeight="1">
      <c r="A973" s="3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</row>
    <row r="974" ht="15.75" customHeight="1">
      <c r="A974" s="3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 ht="15.75" customHeight="1">
      <c r="A975" s="3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</row>
    <row r="976" ht="15.75" customHeight="1">
      <c r="A976" s="3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</row>
    <row r="977" ht="15.75" customHeight="1">
      <c r="A977" s="3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 ht="15.75" customHeight="1">
      <c r="A978" s="3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</row>
    <row r="979" ht="15.75" customHeight="1">
      <c r="A979" s="3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</row>
    <row r="980" ht="15.75" customHeight="1">
      <c r="A980" s="3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 ht="15.75" customHeight="1">
      <c r="A981" s="3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</row>
    <row r="982" ht="15.75" customHeight="1">
      <c r="A982" s="31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</row>
    <row r="983" ht="15.75" customHeight="1">
      <c r="A983" s="31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 ht="15.75" customHeight="1">
      <c r="A984" s="31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</row>
    <row r="985" ht="15.75" customHeight="1">
      <c r="A985" s="31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</row>
    <row r="986" ht="15.75" customHeight="1">
      <c r="A986" s="31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 ht="15.75" customHeight="1">
      <c r="A987" s="31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</row>
    <row r="988" ht="15.75" customHeight="1">
      <c r="A988" s="31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</row>
    <row r="989" ht="15.75" customHeight="1">
      <c r="A989" s="31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 ht="15.75" customHeight="1">
      <c r="A990" s="31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</row>
    <row r="991" ht="15.75" customHeight="1">
      <c r="A991" s="31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</row>
    <row r="992" ht="15.75" customHeight="1">
      <c r="A992" s="31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 ht="15.75" customHeight="1">
      <c r="A993" s="31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</row>
    <row r="994" ht="15.75" customHeight="1">
      <c r="A994" s="31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</row>
    <row r="995" ht="15.75" customHeight="1">
      <c r="A995" s="31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 ht="15.75" customHeight="1">
      <c r="A996" s="31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</row>
    <row r="997" ht="15.75" customHeight="1">
      <c r="A997" s="31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</row>
    <row r="998" ht="15.75" customHeight="1">
      <c r="A998" s="31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  <row r="999" ht="15.75" customHeight="1">
      <c r="A999" s="31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</row>
    <row r="1000" ht="15.75" customHeight="1">
      <c r="A1000" s="31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</row>
  </sheetData>
  <mergeCells count="10">
    <mergeCell ref="B56:M56"/>
    <mergeCell ref="B60:M60"/>
    <mergeCell ref="B64:M64"/>
    <mergeCell ref="A4:B4"/>
    <mergeCell ref="B6:M6"/>
    <mergeCell ref="B9:M9"/>
    <mergeCell ref="B12:M12"/>
    <mergeCell ref="B43:M43"/>
    <mergeCell ref="B46:M46"/>
    <mergeCell ref="B49:M49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4" width="13.29"/>
    <col customWidth="1" min="5" max="5" width="9.14"/>
    <col customWidth="1" min="6" max="26" width="8.86"/>
  </cols>
  <sheetData>
    <row r="1">
      <c r="A1" s="70" t="str">
        <f>Assumptions!B1</f>
        <v>CONKR.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2.0" customHeight="1">
      <c r="A2" s="70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71" t="str">
        <f>'P&amp;L'!A2</f>
        <v>Profit and Loss forecast</v>
      </c>
      <c r="B3" s="72" t="s">
        <v>106</v>
      </c>
      <c r="C3" s="72" t="s">
        <v>107</v>
      </c>
      <c r="D3" s="72" t="s">
        <v>108</v>
      </c>
      <c r="E3" s="63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72" t="s">
        <v>113</v>
      </c>
      <c r="C4" s="72" t="s">
        <v>113</v>
      </c>
      <c r="D4" s="72" t="s">
        <v>113</v>
      </c>
      <c r="E4" s="63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73" t="s">
        <v>114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 t="str">
        <f>'P&amp;L'!A6</f>
        <v>User income</v>
      </c>
      <c r="B7" s="45">
        <f>'P&amp;L'!N6</f>
        <v>13783.26877</v>
      </c>
      <c r="C7" s="45">
        <f>'P&amp;L'!AB6</f>
        <v>409308.8457</v>
      </c>
      <c r="D7" s="45">
        <f>'P&amp;L'!AP6</f>
        <v>2179183.335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73" t="str">
        <f>'P&amp;L'!A8</f>
        <v>Total</v>
      </c>
      <c r="B9" s="74">
        <f>'P&amp;L'!N8</f>
        <v>13783.26877</v>
      </c>
      <c r="C9" s="74">
        <f>'P&amp;L'!AB8</f>
        <v>409308.8457</v>
      </c>
      <c r="D9" s="74">
        <f>'P&amp;L'!AP8</f>
        <v>2179183.335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3" t="s">
        <v>85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45" t="str">
        <f>'P&amp;L'!A11</f>
        <v>Direct Selling costs</v>
      </c>
      <c r="B12" s="75">
        <f>'P&amp;L'!N11</f>
        <v>137.8326877</v>
      </c>
      <c r="C12" s="75">
        <f>'P&amp;L'!AB11</f>
        <v>4093.088457</v>
      </c>
      <c r="D12" s="75">
        <f>'P&amp;L'!AP11</f>
        <v>21791.83335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3" t="s">
        <v>115</v>
      </c>
      <c r="B14" s="75">
        <f t="shared" ref="B14:D14" si="1">B9-B12</f>
        <v>13645.43608</v>
      </c>
      <c r="C14" s="75">
        <f t="shared" si="1"/>
        <v>405215.7572</v>
      </c>
      <c r="D14" s="75">
        <f t="shared" si="1"/>
        <v>2157391.502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73" t="s">
        <v>116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 t="str">
        <f>'P&amp;L'!A17</f>
        <v>CEO</v>
      </c>
      <c r="B18" s="45">
        <f>'P&amp;L'!N17</f>
        <v>20000</v>
      </c>
      <c r="C18" s="45">
        <f>'P&amp;L'!AB17</f>
        <v>25000</v>
      </c>
      <c r="D18" s="45">
        <f>'P&amp;L'!AP17</f>
        <v>40000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 t="str">
        <f>'P&amp;L'!A18</f>
        <v>Administration</v>
      </c>
      <c r="B19" s="45">
        <f>'P&amp;L'!N18</f>
        <v>0</v>
      </c>
      <c r="C19" s="45">
        <f>'P&amp;L'!AB18</f>
        <v>5000</v>
      </c>
      <c r="D19" s="45">
        <f>'P&amp;L'!AP18</f>
        <v>5000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 t="str">
        <f>'P&amp;L'!A19</f>
        <v>Other Staff Costs</v>
      </c>
      <c r="B20" s="45">
        <f>'P&amp;L'!N19</f>
        <v>40000</v>
      </c>
      <c r="C20" s="45">
        <f>'P&amp;L'!AB19</f>
        <v>50000</v>
      </c>
      <c r="D20" s="45">
        <f>'P&amp;L'!AP19</f>
        <v>60000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5" t="str">
        <f>'P&amp;L'!A20</f>
        <v>Development Expenditure</v>
      </c>
      <c r="B21" s="45">
        <f>'P&amp;L'!N20</f>
        <v>60000</v>
      </c>
      <c r="C21" s="45">
        <f>'P&amp;L'!AB20</f>
        <v>13000</v>
      </c>
      <c r="D21" s="45">
        <f>'P&amp;L'!AP20</f>
        <v>30000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5" t="str">
        <f>'P&amp;L'!A21</f>
        <v>Motor &amp; travel expenses</v>
      </c>
      <c r="B22" s="45">
        <f>'P&amp;L'!N21</f>
        <v>0</v>
      </c>
      <c r="C22" s="45">
        <f>'P&amp;L'!AB21</f>
        <v>0</v>
      </c>
      <c r="D22" s="45">
        <f>'P&amp;L'!AP21</f>
        <v>0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5" t="str">
        <f>'P&amp;L'!A22</f>
        <v>Materials/Resources</v>
      </c>
      <c r="B23" s="45">
        <f>'P&amp;L'!N22</f>
        <v>0</v>
      </c>
      <c r="C23" s="45">
        <f>'P&amp;L'!AB22</f>
        <v>0</v>
      </c>
      <c r="D23" s="45">
        <f>'P&amp;L'!AP22</f>
        <v>0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5" t="str">
        <f>'P&amp;L'!A23</f>
        <v>Marketing</v>
      </c>
      <c r="B24" s="45">
        <f>'P&amp;L'!N23</f>
        <v>20000</v>
      </c>
      <c r="C24" s="45">
        <f>'P&amp;L'!AB23</f>
        <v>30000</v>
      </c>
      <c r="D24" s="45">
        <f>'P&amp;L'!AP23</f>
        <v>30000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5" t="str">
        <f>'P&amp;L'!A24</f>
        <v>Insurance</v>
      </c>
      <c r="B25" s="45">
        <f>'P&amp;L'!N24</f>
        <v>14000</v>
      </c>
      <c r="C25" s="45">
        <f>'P&amp;L'!AB24</f>
        <v>14000</v>
      </c>
      <c r="D25" s="45">
        <f>'P&amp;L'!AP24</f>
        <v>14000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5" t="str">
        <f>'P&amp;L'!A25</f>
        <v>Computer &amp; IT costs</v>
      </c>
      <c r="B26" s="45">
        <f>'P&amp;L'!N25</f>
        <v>1000</v>
      </c>
      <c r="C26" s="45">
        <f>'P&amp;L'!AB25</f>
        <v>1000</v>
      </c>
      <c r="D26" s="45">
        <f>'P&amp;L'!AP25</f>
        <v>1000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5" t="str">
        <f>'P&amp;L'!A26</f>
        <v>Office Rent &amp; services</v>
      </c>
      <c r="B27" s="45">
        <f>'P&amp;L'!N26</f>
        <v>0</v>
      </c>
      <c r="C27" s="45">
        <f>'P&amp;L'!AB26</f>
        <v>0</v>
      </c>
      <c r="D27" s="45">
        <f>'P&amp;L'!AP26</f>
        <v>0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45" t="str">
        <f>'P&amp;L'!A27</f>
        <v>Telephone</v>
      </c>
      <c r="B28" s="45">
        <f>'P&amp;L'!N27</f>
        <v>0</v>
      </c>
      <c r="C28" s="45">
        <f>'P&amp;L'!AB27</f>
        <v>0</v>
      </c>
      <c r="D28" s="45">
        <f>'P&amp;L'!AP27</f>
        <v>0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5" t="str">
        <f>'P&amp;L'!A28</f>
        <v>Fund raising costs</v>
      </c>
      <c r="B29" s="45">
        <f>'P&amp;L'!N28</f>
        <v>7500</v>
      </c>
      <c r="C29" s="45">
        <f>'P&amp;L'!AB28</f>
        <v>0</v>
      </c>
      <c r="D29" s="45">
        <f>'P&amp;L'!AP28</f>
        <v>0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5" t="str">
        <f>'P&amp;L'!A29</f>
        <v>Contingency</v>
      </c>
      <c r="B30" s="45">
        <f>'P&amp;L'!N29</f>
        <v>0</v>
      </c>
      <c r="C30" s="45">
        <f>'P&amp;L'!AB29</f>
        <v>10000</v>
      </c>
      <c r="D30" s="45">
        <f>'P&amp;L'!AP29</f>
        <v>10000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5" t="str">
        <f>'P&amp;L'!A30</f>
        <v>Depreciation</v>
      </c>
      <c r="B31" s="45">
        <f>'P&amp;L'!N30</f>
        <v>0</v>
      </c>
      <c r="C31" s="45">
        <f>'P&amp;L'!AB30</f>
        <v>0</v>
      </c>
      <c r="D31" s="45">
        <f>'P&amp;L'!AP30</f>
        <v>0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73" t="str">
        <f>'P&amp;L'!A32</f>
        <v>Total</v>
      </c>
      <c r="B34" s="74">
        <f t="shared" ref="B34:D34" si="2">SUM(B18:B33)</f>
        <v>162500</v>
      </c>
      <c r="C34" s="74">
        <f t="shared" si="2"/>
        <v>148000</v>
      </c>
      <c r="D34" s="74">
        <f t="shared" si="2"/>
        <v>190000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73" t="str">
        <f>'P&amp;L'!A35</f>
        <v>Profit (loss) before tax</v>
      </c>
      <c r="B36" s="76">
        <f t="shared" ref="B36:D36" si="3">B14-B34</f>
        <v>-148854.5639</v>
      </c>
      <c r="C36" s="76">
        <f t="shared" si="3"/>
        <v>257215.7572</v>
      </c>
      <c r="D36" s="77">
        <f t="shared" si="3"/>
        <v>1967391.502</v>
      </c>
      <c r="E36" s="78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73"/>
      <c r="B37" s="78"/>
      <c r="C37" s="78"/>
      <c r="D37" s="78"/>
      <c r="E37" s="78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73" t="str">
        <f>'P&amp;L'!A37</f>
        <v>Tax</v>
      </c>
      <c r="B38" s="79">
        <f>'P&amp;L'!N37</f>
        <v>0</v>
      </c>
      <c r="C38" s="79">
        <f>'P&amp;L'!AB37</f>
        <v>20588.62673</v>
      </c>
      <c r="D38" s="79">
        <f>'P&amp;L'!AP37</f>
        <v>-394393.012</v>
      </c>
      <c r="E38" s="79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73"/>
      <c r="B39" s="79"/>
      <c r="C39" s="79"/>
      <c r="D39" s="79"/>
      <c r="E39" s="79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73" t="str">
        <f>'P&amp;L'!A39</f>
        <v>Retained profit</v>
      </c>
      <c r="B40" s="80">
        <f>'P&amp;L'!N39</f>
        <v>-148854.5639</v>
      </c>
      <c r="C40" s="80">
        <f>'P&amp;L'!AB39</f>
        <v>277804.3839</v>
      </c>
      <c r="D40" s="81">
        <f>'P&amp;L'!AP39</f>
        <v>1572998.489</v>
      </c>
      <c r="E40" s="82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83"/>
      <c r="B42" s="83"/>
      <c r="C42" s="83"/>
      <c r="D42" s="83"/>
      <c r="E42" s="83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70" t="str">
        <f>A1</f>
        <v>CONKR.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2.0" customHeight="1">
      <c r="A44" s="70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70" t="s">
        <v>117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71" t="s">
        <v>118</v>
      </c>
      <c r="B47" s="63" t="s">
        <v>106</v>
      </c>
      <c r="C47" s="63" t="s">
        <v>107</v>
      </c>
      <c r="D47" s="63" t="s">
        <v>108</v>
      </c>
      <c r="E47" s="63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45"/>
      <c r="B48" s="63" t="s">
        <v>113</v>
      </c>
      <c r="C48" s="63" t="s">
        <v>113</v>
      </c>
      <c r="D48" s="63" t="s">
        <v>113</v>
      </c>
      <c r="E48" s="63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73" t="str">
        <f>Cashflow!A5</f>
        <v>Income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 t="str">
        <f>Cashflow!A6</f>
        <v>Founder</v>
      </c>
      <c r="B50" s="45">
        <f>Cashflow!N6</f>
        <v>15000</v>
      </c>
      <c r="C50" s="45">
        <f>Cashflow!AB6</f>
        <v>0</v>
      </c>
      <c r="D50" s="45">
        <f>Cashflow!AP6</f>
        <v>0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 t="str">
        <f>Cashflow!A7</f>
        <v>Investment</v>
      </c>
      <c r="B51" s="45">
        <f>Cashflow!N7</f>
        <v>150000</v>
      </c>
      <c r="C51" s="45">
        <f>Cashflow!AB7</f>
        <v>0</v>
      </c>
      <c r="D51" s="45">
        <f>Cashflow!AP7</f>
        <v>0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 t="str">
        <f>A7</f>
        <v>User income</v>
      </c>
      <c r="B52" s="45">
        <f>Cashflow!N8</f>
        <v>16539.92252</v>
      </c>
      <c r="C52" s="45">
        <f>Cashflow!AB8</f>
        <v>491170.6148</v>
      </c>
      <c r="D52" s="45">
        <f>Cashflow!AP8</f>
        <v>2615020.002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 t="str">
        <f>Cashflow!A9</f>
        <v>VAT Recovered</v>
      </c>
      <c r="B53" s="45">
        <f>Cashflow!N9</f>
        <v>15750</v>
      </c>
      <c r="C53" s="45">
        <f>Cashflow!AB9</f>
        <v>2020.912784</v>
      </c>
      <c r="D53" s="45" t="str">
        <f>Cashflow!AP9</f>
        <v/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73" t="str">
        <f>Cashflow!A11</f>
        <v>Total</v>
      </c>
      <c r="B55" s="74">
        <f>Cashflow!N11</f>
        <v>197289.9225</v>
      </c>
      <c r="C55" s="74">
        <f>Cashflow!AB11</f>
        <v>493191.5276</v>
      </c>
      <c r="D55" s="74">
        <f>Cashflow!AP11</f>
        <v>2615020.002</v>
      </c>
      <c r="E55" s="73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73" t="s">
        <v>119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 t="str">
        <f>Cashflow!A14</f>
        <v>Direct Selling costs</v>
      </c>
      <c r="B59" s="45">
        <f>Cashflow!N14</f>
        <v>165.3992252</v>
      </c>
      <c r="C59" s="45">
        <f>Cashflow!AB14</f>
        <v>4911.706148</v>
      </c>
      <c r="D59" s="45">
        <f>Cashflow!AP14</f>
        <v>26150.20002</v>
      </c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 t="str">
        <f>Cashflow!A15</f>
        <v>CEO</v>
      </c>
      <c r="B60" s="45">
        <f>Cashflow!N15</f>
        <v>16000</v>
      </c>
      <c r="C60" s="45">
        <f>Cashflow!AB15</f>
        <v>20000</v>
      </c>
      <c r="D60" s="45">
        <f>Cashflow!AP15</f>
        <v>32000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 t="str">
        <f>Cashflow!A16</f>
        <v>Administration</v>
      </c>
      <c r="B61" s="45">
        <f>Cashflow!N16</f>
        <v>0</v>
      </c>
      <c r="C61" s="45">
        <f>Cashflow!AB16</f>
        <v>4000</v>
      </c>
      <c r="D61" s="45">
        <f>Cashflow!AP16</f>
        <v>4000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 t="str">
        <f>Cashflow!A17</f>
        <v>Other Staff Costs</v>
      </c>
      <c r="B62" s="45">
        <f>Cashflow!N17</f>
        <v>32000</v>
      </c>
      <c r="C62" s="45">
        <f>Cashflow!AB17</f>
        <v>40000</v>
      </c>
      <c r="D62" s="45">
        <f>Cashflow!AP17</f>
        <v>48000</v>
      </c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5" t="str">
        <f>Cashflow!A18</f>
        <v>Development Expenditure</v>
      </c>
      <c r="B63" s="45">
        <f>Cashflow!N18</f>
        <v>72000</v>
      </c>
      <c r="C63" s="45">
        <f>Cashflow!AB18</f>
        <v>15600</v>
      </c>
      <c r="D63" s="45">
        <f>Cashflow!AP18</f>
        <v>36000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5" t="str">
        <f>Cashflow!A19</f>
        <v>Motor &amp; travel expenses</v>
      </c>
      <c r="B64" s="45">
        <f>Cashflow!N19</f>
        <v>0</v>
      </c>
      <c r="C64" s="45">
        <f>Cashflow!AB19</f>
        <v>0</v>
      </c>
      <c r="D64" s="45">
        <f>Cashflow!AP19</f>
        <v>0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5" t="str">
        <f>Cashflow!A20</f>
        <v>Materials/Resources</v>
      </c>
      <c r="B65" s="45">
        <f>Cashflow!N20</f>
        <v>0</v>
      </c>
      <c r="C65" s="45">
        <f>Cashflow!AB20</f>
        <v>0</v>
      </c>
      <c r="D65" s="45">
        <f>Cashflow!AP20</f>
        <v>0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5" t="str">
        <f>Cashflow!A21</f>
        <v>Marketing</v>
      </c>
      <c r="B66" s="45">
        <f>Cashflow!N21</f>
        <v>24000</v>
      </c>
      <c r="C66" s="45">
        <f>Cashflow!AB21</f>
        <v>36000</v>
      </c>
      <c r="D66" s="45">
        <f>Cashflow!AP21</f>
        <v>36000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5" t="str">
        <f>Cashflow!A22</f>
        <v>Insurance</v>
      </c>
      <c r="B67" s="45">
        <f>Cashflow!N22</f>
        <v>16800</v>
      </c>
      <c r="C67" s="45">
        <f>Cashflow!AB22</f>
        <v>16800</v>
      </c>
      <c r="D67" s="45">
        <f>Cashflow!AP22</f>
        <v>16800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5" t="str">
        <f>Cashflow!A23</f>
        <v>Computer &amp; IT costs</v>
      </c>
      <c r="B68" s="45">
        <f>Cashflow!N23</f>
        <v>1200</v>
      </c>
      <c r="C68" s="45">
        <f>Cashflow!AB23</f>
        <v>1200</v>
      </c>
      <c r="D68" s="45">
        <f>Cashflow!AP23</f>
        <v>1200</v>
      </c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5" t="str">
        <f>Cashflow!A24</f>
        <v>Office Rent &amp; services</v>
      </c>
      <c r="B69" s="45">
        <f>Cashflow!N24</f>
        <v>0</v>
      </c>
      <c r="C69" s="45">
        <f>Cashflow!AB24</f>
        <v>0</v>
      </c>
      <c r="D69" s="45">
        <f>Cashflow!AP24</f>
        <v>0</v>
      </c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5" t="str">
        <f>Cashflow!A25</f>
        <v>Telephone</v>
      </c>
      <c r="B70" s="45">
        <f>Cashflow!N25</f>
        <v>0</v>
      </c>
      <c r="C70" s="45">
        <f>Cashflow!AB25</f>
        <v>0</v>
      </c>
      <c r="D70" s="45">
        <f>Cashflow!AP25</f>
        <v>0</v>
      </c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5" t="str">
        <f>Cashflow!A26</f>
        <v>Fund raising costs</v>
      </c>
      <c r="B71" s="45">
        <f>Cashflow!N26</f>
        <v>9000</v>
      </c>
      <c r="C71" s="45">
        <f>Cashflow!AB26</f>
        <v>0</v>
      </c>
      <c r="D71" s="45">
        <f>Cashflow!AP26</f>
        <v>0</v>
      </c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5" t="str">
        <f>Cashflow!A27</f>
        <v>Contingency</v>
      </c>
      <c r="B72" s="45">
        <f>Cashflow!N27</f>
        <v>0</v>
      </c>
      <c r="C72" s="45">
        <f>Cashflow!AB27</f>
        <v>12000</v>
      </c>
      <c r="D72" s="45">
        <f>Cashflow!AP27</f>
        <v>12000</v>
      </c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5" t="str">
        <f>Cashflow!A29</f>
        <v>PAYE</v>
      </c>
      <c r="B73" s="45">
        <f>Cashflow!N29</f>
        <v>11000</v>
      </c>
      <c r="C73" s="45">
        <f>Cashflow!AB29</f>
        <v>15666.66667</v>
      </c>
      <c r="D73" s="45">
        <f>Cashflow!AP29</f>
        <v>20583.33333</v>
      </c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5" t="str">
        <f>Cashflow!A30</f>
        <v>VAT Paid</v>
      </c>
      <c r="B74" s="45">
        <f>Cashflow!N30</f>
        <v>0</v>
      </c>
      <c r="C74" s="45">
        <f>Cashflow!AB30</f>
        <v>29531.90265</v>
      </c>
      <c r="D74" s="45">
        <f>Cashflow!AP30</f>
        <v>314436.5154</v>
      </c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5" t="str">
        <f>Cashflow!A31</f>
        <v>C Tax</v>
      </c>
      <c r="B75" s="45">
        <f>Cashflow!N31</f>
        <v>0</v>
      </c>
      <c r="C75" s="45">
        <f>Cashflow!AB31</f>
        <v>0</v>
      </c>
      <c r="D75" s="45">
        <f>Cashflow!AP31</f>
        <v>-20588.62673</v>
      </c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5" t="str">
        <f>Cashflow!A32</f>
        <v/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73" t="str">
        <f>Cashflow!A33</f>
        <v>Total</v>
      </c>
      <c r="B78" s="74">
        <f t="shared" ref="B78:D78" si="4">SUM(B56:B75)</f>
        <v>182165.3992</v>
      </c>
      <c r="C78" s="74">
        <f t="shared" si="4"/>
        <v>195710.2755</v>
      </c>
      <c r="D78" s="74">
        <f t="shared" si="4"/>
        <v>526581.422</v>
      </c>
      <c r="E78" s="73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5" t="str">
        <f>Cashflow!A35</f>
        <v>Opening Balance </v>
      </c>
      <c r="B80" s="45">
        <f>Cashflow!N35</f>
        <v>0</v>
      </c>
      <c r="C80" s="45">
        <f>Cashflow!AB35</f>
        <v>15124.5233</v>
      </c>
      <c r="D80" s="45">
        <f>Cashflow!AP35</f>
        <v>312605.7754</v>
      </c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5" t="str">
        <f>Cashflow!A36</f>
        <v>Cash Inflow/Outflow</v>
      </c>
      <c r="B81" s="45">
        <f t="shared" ref="B81:D81" si="5">B55-B78</f>
        <v>15124.5233</v>
      </c>
      <c r="C81" s="45">
        <f t="shared" si="5"/>
        <v>297481.2521</v>
      </c>
      <c r="D81" s="45">
        <f t="shared" si="5"/>
        <v>2088438.58</v>
      </c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73" t="str">
        <f>Cashflow!A37</f>
        <v>Closing Balance</v>
      </c>
      <c r="B83" s="74">
        <f>Cashflow!N37</f>
        <v>15124.5233</v>
      </c>
      <c r="C83" s="74">
        <f>Cashflow!AB37</f>
        <v>312605.7754</v>
      </c>
      <c r="D83" s="74">
        <f>Cashflow!AP37</f>
        <v>2401044.355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3" t="s">
        <v>120</v>
      </c>
      <c r="B85" s="84">
        <f>MIN(Cashflow!B37:M37)</f>
        <v>15124.5233</v>
      </c>
      <c r="C85" s="84">
        <f>MIN(Cashflow!E37:AA68)</f>
        <v>10601.92425</v>
      </c>
      <c r="D85" s="84">
        <f>MIN(Cashflow!AD37:AO37)</f>
        <v>372190.2978</v>
      </c>
      <c r="E85" s="45"/>
      <c r="F85" s="4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85"/>
      <c r="B87" s="85"/>
      <c r="C87" s="85"/>
      <c r="D87" s="85"/>
      <c r="E87" s="8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70" t="str">
        <f>A1</f>
        <v>CONKR.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2.0" customHeight="1">
      <c r="A89" s="70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70" t="s">
        <v>117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71" t="s">
        <v>121</v>
      </c>
      <c r="B92" s="63" t="s">
        <v>106</v>
      </c>
      <c r="C92" s="63" t="s">
        <v>107</v>
      </c>
      <c r="D92" s="63" t="s">
        <v>108</v>
      </c>
      <c r="E92" s="63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5"/>
      <c r="B93" s="63" t="s">
        <v>113</v>
      </c>
      <c r="C93" s="63" t="s">
        <v>113</v>
      </c>
      <c r="D93" s="63" t="s">
        <v>113</v>
      </c>
      <c r="E93" s="63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5" t="s">
        <v>122</v>
      </c>
      <c r="B95" s="79">
        <f>'Bal Sht'!M5</f>
        <v>0</v>
      </c>
      <c r="C95" s="79">
        <f>'Bal Sht'!AA5</f>
        <v>0</v>
      </c>
      <c r="D95" s="79">
        <f>'Bal Sht'!AO5</f>
        <v>0</v>
      </c>
      <c r="E95" s="79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5"/>
      <c r="B96" s="79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5" t="str">
        <f>'Bal Sht'!A7</f>
        <v>Bank Balance</v>
      </c>
      <c r="B97" s="79">
        <f t="shared" ref="B97:D97" si="6">B83</f>
        <v>15124.5233</v>
      </c>
      <c r="C97" s="79">
        <f t="shared" si="6"/>
        <v>312605.7754</v>
      </c>
      <c r="D97" s="79">
        <f t="shared" si="6"/>
        <v>2401044.355</v>
      </c>
      <c r="E97" s="79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5"/>
      <c r="B98" s="79"/>
      <c r="C98" s="79"/>
      <c r="D98" s="79"/>
      <c r="E98" s="79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5" t="str">
        <f>'Bal Sht'!A9</f>
        <v>VAT (payable) / recoverable</v>
      </c>
      <c r="B99" s="79">
        <f>'Bal Sht'!M9</f>
        <v>2020.912784</v>
      </c>
      <c r="C99" s="79">
        <f>'Bal Sht'!AA9</f>
        <v>-37911.24879</v>
      </c>
      <c r="D99" s="79">
        <f>'Bal Sht'!AO9</f>
        <v>-137953.0337</v>
      </c>
      <c r="E99" s="79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5"/>
      <c r="B100" s="79"/>
      <c r="C100" s="79"/>
      <c r="D100" s="79"/>
      <c r="E100" s="79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5" t="str">
        <f>'Bal Sht'!A11</f>
        <v>PAYE and NI</v>
      </c>
      <c r="B101" s="79">
        <f>'Bal Sht'!M11</f>
        <v>-1000</v>
      </c>
      <c r="C101" s="79">
        <f>'Bal Sht'!AA11</f>
        <v>-1333.333333</v>
      </c>
      <c r="D101" s="79">
        <f>'Bal Sht'!AO11</f>
        <v>-1750</v>
      </c>
      <c r="E101" s="79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5"/>
      <c r="B102" s="79"/>
      <c r="C102" s="79"/>
      <c r="D102" s="79"/>
      <c r="E102" s="79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5" t="s">
        <v>123</v>
      </c>
      <c r="B103" s="79">
        <f>'Bal Sht'!M13</f>
        <v>0</v>
      </c>
      <c r="C103" s="79">
        <f>'Bal Sht'!AA13</f>
        <v>20588.62673</v>
      </c>
      <c r="D103" s="79">
        <f>'Bal Sht'!AO13</f>
        <v>-394393.012</v>
      </c>
      <c r="E103" s="79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5"/>
      <c r="B104" s="79"/>
      <c r="C104" s="79"/>
      <c r="D104" s="79"/>
      <c r="E104" s="79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5"/>
      <c r="B105" s="79"/>
      <c r="C105" s="79"/>
      <c r="D105" s="79"/>
      <c r="E105" s="79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73" t="str">
        <f>'Bal Sht'!A15</f>
        <v>Net Assets</v>
      </c>
      <c r="B106" s="80">
        <f t="shared" ref="B106:D106" si="7">SUM(B94:B105)</f>
        <v>16145.43608</v>
      </c>
      <c r="C106" s="80">
        <f t="shared" si="7"/>
        <v>293949.82</v>
      </c>
      <c r="D106" s="80">
        <f t="shared" si="7"/>
        <v>1866948.31</v>
      </c>
      <c r="E106" s="82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5"/>
      <c r="B107" s="79"/>
      <c r="C107" s="79"/>
      <c r="D107" s="79"/>
      <c r="E107" s="79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5"/>
      <c r="B108" s="79"/>
      <c r="C108" s="79"/>
      <c r="D108" s="79"/>
      <c r="E108" s="79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5" t="str">
        <f>'Bal Sht'!A18</f>
        <v>Share capital</v>
      </c>
      <c r="B109" s="79">
        <f>'Bal Sht'!M18</f>
        <v>165000</v>
      </c>
      <c r="C109" s="79">
        <f>'Bal Sht'!AA18</f>
        <v>165000</v>
      </c>
      <c r="D109" s="79">
        <f>'Bal Sht'!AO18</f>
        <v>165000</v>
      </c>
      <c r="E109" s="79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5" t="str">
        <f>'Bal Sht'!A19</f>
        <v>Profit and loss account brought forward</v>
      </c>
      <c r="B110" s="79">
        <f>'Bal Sht'!M19</f>
        <v>0</v>
      </c>
      <c r="C110" s="79">
        <f>'Bal Sht'!AA19</f>
        <v>-148854.5639</v>
      </c>
      <c r="D110" s="79">
        <f>'Bal Sht'!AO19</f>
        <v>128949.82</v>
      </c>
      <c r="E110" s="79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5" t="str">
        <f>'Bal Sht'!A20</f>
        <v>Profit and loss account for the Year</v>
      </c>
      <c r="B111" s="79">
        <f t="shared" ref="B111:D111" si="8">B40</f>
        <v>-148854.5639</v>
      </c>
      <c r="C111" s="79">
        <f t="shared" si="8"/>
        <v>277804.3839</v>
      </c>
      <c r="D111" s="79">
        <f t="shared" si="8"/>
        <v>1572998.489</v>
      </c>
      <c r="E111" s="79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5"/>
      <c r="B112" s="79"/>
      <c r="C112" s="79"/>
      <c r="D112" s="79"/>
      <c r="E112" s="79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73" t="str">
        <f>'Bal Sht'!A22</f>
        <v>Shareholders funds</v>
      </c>
      <c r="B113" s="80">
        <f t="shared" ref="B113:D113" si="9">SUM(B109:B112)</f>
        <v>16145.43608</v>
      </c>
      <c r="C113" s="80">
        <f t="shared" si="9"/>
        <v>293949.82</v>
      </c>
      <c r="D113" s="80">
        <f t="shared" si="9"/>
        <v>1866948.31</v>
      </c>
      <c r="E113" s="82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86" t="str">
        <f>'Bal Sht'!A24</f>
        <v>Check</v>
      </c>
      <c r="B115" s="87">
        <f t="shared" ref="B115:D115" si="10">B106-B113</f>
        <v>0</v>
      </c>
      <c r="C115" s="87">
        <f t="shared" si="10"/>
        <v>0</v>
      </c>
      <c r="D115" s="87">
        <f t="shared" si="10"/>
        <v>-0.000000000698491931</v>
      </c>
      <c r="E115" s="87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86"/>
      <c r="B116" s="86"/>
      <c r="C116" s="86"/>
      <c r="D116" s="86"/>
      <c r="E116" s="8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paperSize="9" orientation="portrait"/>
  <rowBreaks count="2" manualBreakCount="2">
    <brk id="85" man="1"/>
    <brk id="40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14"/>
    <col customWidth="1" min="2" max="50" width="9.43"/>
    <col customWidth="1" min="51" max="51" width="9.71"/>
    <col customWidth="1" min="52" max="55" width="9.43"/>
    <col customWidth="1" min="56" max="62" width="8.86"/>
  </cols>
  <sheetData>
    <row r="1">
      <c r="A1" s="88" t="str">
        <f>Assumptions!B1</f>
        <v>CONKR.</v>
      </c>
      <c r="N1" s="30"/>
      <c r="AB1" s="30"/>
      <c r="AP1" s="30"/>
      <c r="BD1" s="30"/>
    </row>
    <row r="2">
      <c r="A2" s="30" t="s">
        <v>124</v>
      </c>
      <c r="N2" s="30"/>
      <c r="AB2" s="30"/>
      <c r="AP2" s="30"/>
      <c r="BD2" s="30"/>
    </row>
    <row r="3">
      <c r="N3" s="30"/>
      <c r="AB3" s="30"/>
      <c r="AP3" s="30"/>
      <c r="BD3" s="30"/>
    </row>
    <row r="4">
      <c r="A4" s="89"/>
      <c r="B4" s="89" t="s">
        <v>44</v>
      </c>
      <c r="C4" s="89" t="s">
        <v>45</v>
      </c>
      <c r="D4" s="89" t="s">
        <v>46</v>
      </c>
      <c r="E4" s="89" t="s">
        <v>47</v>
      </c>
      <c r="F4" s="89" t="s">
        <v>48</v>
      </c>
      <c r="G4" s="89" t="s">
        <v>49</v>
      </c>
      <c r="H4" s="89" t="s">
        <v>50</v>
      </c>
      <c r="I4" s="89" t="s">
        <v>51</v>
      </c>
      <c r="J4" s="89" t="s">
        <v>52</v>
      </c>
      <c r="K4" s="89" t="s">
        <v>53</v>
      </c>
      <c r="L4" s="89" t="s">
        <v>54</v>
      </c>
      <c r="M4" s="89" t="s">
        <v>55</v>
      </c>
      <c r="N4" s="89" t="s">
        <v>125</v>
      </c>
      <c r="O4" s="89"/>
      <c r="P4" s="89" t="s">
        <v>59</v>
      </c>
      <c r="Q4" s="89" t="s">
        <v>60</v>
      </c>
      <c r="R4" s="89" t="s">
        <v>61</v>
      </c>
      <c r="S4" s="89" t="s">
        <v>62</v>
      </c>
      <c r="T4" s="89" t="s">
        <v>63</v>
      </c>
      <c r="U4" s="89" t="s">
        <v>64</v>
      </c>
      <c r="V4" s="89" t="s">
        <v>65</v>
      </c>
      <c r="W4" s="89" t="s">
        <v>66</v>
      </c>
      <c r="X4" s="89" t="s">
        <v>67</v>
      </c>
      <c r="Y4" s="89" t="s">
        <v>68</v>
      </c>
      <c r="Z4" s="89" t="s">
        <v>69</v>
      </c>
      <c r="AA4" s="89" t="s">
        <v>70</v>
      </c>
      <c r="AB4" s="89" t="s">
        <v>125</v>
      </c>
      <c r="AC4" s="89"/>
      <c r="AD4" s="89" t="s">
        <v>73</v>
      </c>
      <c r="AE4" s="89" t="s">
        <v>74</v>
      </c>
      <c r="AF4" s="89" t="s">
        <v>75</v>
      </c>
      <c r="AG4" s="89" t="s">
        <v>76</v>
      </c>
      <c r="AH4" s="89" t="s">
        <v>77</v>
      </c>
      <c r="AI4" s="89" t="s">
        <v>78</v>
      </c>
      <c r="AJ4" s="89" t="s">
        <v>79</v>
      </c>
      <c r="AK4" s="89" t="s">
        <v>80</v>
      </c>
      <c r="AL4" s="89" t="s">
        <v>81</v>
      </c>
      <c r="AM4" s="89" t="s">
        <v>82</v>
      </c>
      <c r="AN4" s="89" t="s">
        <v>83</v>
      </c>
      <c r="AO4" s="89" t="s">
        <v>84</v>
      </c>
      <c r="AP4" s="89" t="s">
        <v>125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</row>
    <row r="5">
      <c r="A5" s="30" t="s">
        <v>126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73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73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73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30"/>
    </row>
    <row r="6">
      <c r="A6" s="24" t="s">
        <v>127</v>
      </c>
      <c r="B6" s="45">
        <f>Assumptions!B8*Assumptions!$C$4</f>
        <v>0</v>
      </c>
      <c r="C6" s="45">
        <f>Assumptions!C8*Assumptions!$C$4</f>
        <v>0</v>
      </c>
      <c r="D6" s="45">
        <f>Assumptions!D8*Assumptions!$C$4</f>
        <v>0</v>
      </c>
      <c r="E6" s="45">
        <f>Assumptions!E8*Assumptions!$C$4</f>
        <v>0</v>
      </c>
      <c r="F6" s="45">
        <f>Assumptions!F8*Assumptions!$C$4</f>
        <v>0</v>
      </c>
      <c r="G6" s="45">
        <f>Assumptions!G8*Assumptions!$C$4</f>
        <v>0</v>
      </c>
      <c r="H6" s="45">
        <f>Assumptions!H8*Assumptions!$C$4</f>
        <v>0</v>
      </c>
      <c r="I6" s="45">
        <f>Assumptions!I8*Assumptions!$C$4</f>
        <v>0</v>
      </c>
      <c r="J6" s="45">
        <f>Assumptions!J8*Assumptions!$C$4</f>
        <v>0</v>
      </c>
      <c r="K6" s="45">
        <f>Assumptions!K8*Assumptions!$C$4</f>
        <v>3521.069165</v>
      </c>
      <c r="L6" s="45">
        <f>Assumptions!L8*Assumptions!$C$4</f>
        <v>4504.760157</v>
      </c>
      <c r="M6" s="45">
        <f>Assumptions!M8*Assumptions!$C$4</f>
        <v>5757.439446</v>
      </c>
      <c r="N6" s="73">
        <f>SUM(B6:M6)</f>
        <v>13783.26877</v>
      </c>
      <c r="O6" s="45"/>
      <c r="P6" s="45">
        <f>Assumptions!B11*Assumptions!$C$4</f>
        <v>7348.998522</v>
      </c>
      <c r="Q6" s="45">
        <f>Assumptions!C11*Assumptions!$C$4</f>
        <v>9365.217108</v>
      </c>
      <c r="R6" s="45">
        <f>Assumptions!D11*Assumptions!$C$4</f>
        <v>11909.97659</v>
      </c>
      <c r="S6" s="45">
        <f>Assumptions!E11*Assumptions!$C$4</f>
        <v>15106.885</v>
      </c>
      <c r="T6" s="45">
        <f>Assumptions!F11*Assumptions!$C$4</f>
        <v>19099.61891</v>
      </c>
      <c r="U6" s="45">
        <f>Assumptions!G11*Assumptions!$C$4</f>
        <v>24049.97519</v>
      </c>
      <c r="V6" s="45">
        <f>Assumptions!H11*Assumptions!$C$4</f>
        <v>30132.31418</v>
      </c>
      <c r="W6" s="45">
        <f>Assumptions!I11*Assumptions!$C$4</f>
        <v>37522.89787</v>
      </c>
      <c r="X6" s="45">
        <f>Assumptions!J11*Assumptions!$C$4</f>
        <v>46382.81689</v>
      </c>
      <c r="Y6" s="45">
        <f>Assumptions!K11*Assumptions!$C$4</f>
        <v>56834.07451</v>
      </c>
      <c r="Z6" s="45">
        <f>Assumptions!L11*Assumptions!$C$4</f>
        <v>68930.23604</v>
      </c>
      <c r="AA6" s="45">
        <f>Assumptions!M11*Assumptions!$C$4</f>
        <v>82625.83486</v>
      </c>
      <c r="AB6" s="73">
        <f>SUM(P6:AA6)</f>
        <v>409308.8457</v>
      </c>
      <c r="AC6" s="45"/>
      <c r="AD6" s="45">
        <f>Assumptions!B14*Assumptions!$C$4</f>
        <v>97751.77146</v>
      </c>
      <c r="AE6" s="45">
        <f>Assumptions!C14*Assumptions!$C$4</f>
        <v>114005.7443</v>
      </c>
      <c r="AF6" s="45">
        <f>Assumptions!D14*Assumptions!$C$4</f>
        <v>130965.4365</v>
      </c>
      <c r="AG6" s="45">
        <f>Assumptions!E14*Assumptions!$C$4</f>
        <v>148126.776</v>
      </c>
      <c r="AH6" s="45">
        <f>Assumptions!F14*Assumptions!$C$4</f>
        <v>164961.3905</v>
      </c>
      <c r="AI6" s="45">
        <f>Assumptions!G14*Assumptions!$C$4</f>
        <v>180980.071</v>
      </c>
      <c r="AJ6" s="45">
        <f>Assumptions!H14*Assumptions!$C$4</f>
        <v>195786.6189</v>
      </c>
      <c r="AK6" s="45">
        <f>Assumptions!I14*Assumptions!$C$4</f>
        <v>209110.3209</v>
      </c>
      <c r="AL6" s="45">
        <f>Assumptions!J14*Assumptions!$C$4</f>
        <v>220813.217</v>
      </c>
      <c r="AM6" s="45">
        <f>Assumptions!K14*Assumptions!$C$4</f>
        <v>230876.1197</v>
      </c>
      <c r="AN6" s="45">
        <f>Assumptions!L14*Assumptions!$C$4</f>
        <v>239371.7881</v>
      </c>
      <c r="AO6" s="45">
        <f>Assumptions!M14*Assumptions!$C$4</f>
        <v>246434.0804</v>
      </c>
      <c r="AP6" s="73">
        <f>SUM(AD6:AO6)</f>
        <v>2179183.335</v>
      </c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73"/>
    </row>
    <row r="7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73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73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73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30"/>
    </row>
    <row r="8">
      <c r="A8" s="30" t="s">
        <v>125</v>
      </c>
      <c r="B8" s="74">
        <f t="shared" ref="B8:M8" si="1">SUM(B6)</f>
        <v>0</v>
      </c>
      <c r="C8" s="74">
        <f t="shared" si="1"/>
        <v>0</v>
      </c>
      <c r="D8" s="74">
        <f t="shared" si="1"/>
        <v>0</v>
      </c>
      <c r="E8" s="74">
        <f t="shared" si="1"/>
        <v>0</v>
      </c>
      <c r="F8" s="74">
        <f t="shared" si="1"/>
        <v>0</v>
      </c>
      <c r="G8" s="74">
        <f t="shared" si="1"/>
        <v>0</v>
      </c>
      <c r="H8" s="74">
        <f t="shared" si="1"/>
        <v>0</v>
      </c>
      <c r="I8" s="74">
        <f t="shared" si="1"/>
        <v>0</v>
      </c>
      <c r="J8" s="74">
        <f t="shared" si="1"/>
        <v>0</v>
      </c>
      <c r="K8" s="74">
        <f t="shared" si="1"/>
        <v>3521.069165</v>
      </c>
      <c r="L8" s="74">
        <f t="shared" si="1"/>
        <v>4504.760157</v>
      </c>
      <c r="M8" s="74">
        <f t="shared" si="1"/>
        <v>5757.439446</v>
      </c>
      <c r="N8" s="74">
        <f>SUM(B8:M8)</f>
        <v>13783.26877</v>
      </c>
      <c r="O8" s="73"/>
      <c r="P8" s="74">
        <f t="shared" ref="P8:AB8" si="2">SUM(P6)</f>
        <v>7348.998522</v>
      </c>
      <c r="Q8" s="74">
        <f t="shared" si="2"/>
        <v>9365.217108</v>
      </c>
      <c r="R8" s="74">
        <f t="shared" si="2"/>
        <v>11909.97659</v>
      </c>
      <c r="S8" s="74">
        <f t="shared" si="2"/>
        <v>15106.885</v>
      </c>
      <c r="T8" s="74">
        <f t="shared" si="2"/>
        <v>19099.61891</v>
      </c>
      <c r="U8" s="74">
        <f t="shared" si="2"/>
        <v>24049.97519</v>
      </c>
      <c r="V8" s="74">
        <f t="shared" si="2"/>
        <v>30132.31418</v>
      </c>
      <c r="W8" s="74">
        <f t="shared" si="2"/>
        <v>37522.89787</v>
      </c>
      <c r="X8" s="74">
        <f t="shared" si="2"/>
        <v>46382.81689</v>
      </c>
      <c r="Y8" s="74">
        <f t="shared" si="2"/>
        <v>56834.07451</v>
      </c>
      <c r="Z8" s="74">
        <f t="shared" si="2"/>
        <v>68930.23604</v>
      </c>
      <c r="AA8" s="74">
        <f t="shared" si="2"/>
        <v>82625.83486</v>
      </c>
      <c r="AB8" s="74">
        <f t="shared" si="2"/>
        <v>409308.8457</v>
      </c>
      <c r="AC8" s="73"/>
      <c r="AD8" s="74">
        <f t="shared" ref="AD8:AP8" si="3">SUM(AD6)</f>
        <v>97751.77146</v>
      </c>
      <c r="AE8" s="74">
        <f t="shared" si="3"/>
        <v>114005.7443</v>
      </c>
      <c r="AF8" s="74">
        <f t="shared" si="3"/>
        <v>130965.4365</v>
      </c>
      <c r="AG8" s="74">
        <f t="shared" si="3"/>
        <v>148126.776</v>
      </c>
      <c r="AH8" s="74">
        <f t="shared" si="3"/>
        <v>164961.3905</v>
      </c>
      <c r="AI8" s="74">
        <f t="shared" si="3"/>
        <v>180980.071</v>
      </c>
      <c r="AJ8" s="74">
        <f t="shared" si="3"/>
        <v>195786.6189</v>
      </c>
      <c r="AK8" s="74">
        <f t="shared" si="3"/>
        <v>209110.3209</v>
      </c>
      <c r="AL8" s="74">
        <f t="shared" si="3"/>
        <v>220813.217</v>
      </c>
      <c r="AM8" s="74">
        <f t="shared" si="3"/>
        <v>230876.1197</v>
      </c>
      <c r="AN8" s="74">
        <f t="shared" si="3"/>
        <v>239371.7881</v>
      </c>
      <c r="AO8" s="74">
        <f t="shared" si="3"/>
        <v>246434.0804</v>
      </c>
      <c r="AP8" s="74">
        <f t="shared" si="3"/>
        <v>2179183.335</v>
      </c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30"/>
      <c r="BF8" s="30"/>
      <c r="BG8" s="30"/>
      <c r="BH8" s="30"/>
      <c r="BI8" s="30"/>
      <c r="BJ8" s="30"/>
    </row>
    <row r="9">
      <c r="N9" s="30"/>
      <c r="AB9" s="30"/>
      <c r="AP9" s="30"/>
      <c r="BD9" s="30"/>
    </row>
    <row r="10">
      <c r="A10" s="30" t="s">
        <v>85</v>
      </c>
      <c r="N10" s="30"/>
      <c r="AB10" s="30"/>
      <c r="AP10" s="30"/>
      <c r="BD10" s="30"/>
    </row>
    <row r="11">
      <c r="A11" s="45" t="s">
        <v>128</v>
      </c>
      <c r="B11" s="75">
        <f>Assumptions!$B17*'P&amp;L'!B6</f>
        <v>0</v>
      </c>
      <c r="C11" s="75">
        <f>Assumptions!$B17*'P&amp;L'!C6</f>
        <v>0</v>
      </c>
      <c r="D11" s="75">
        <f>Assumptions!$B17*'P&amp;L'!D6</f>
        <v>0</v>
      </c>
      <c r="E11" s="75">
        <f>Assumptions!$B17*'P&amp;L'!E6</f>
        <v>0</v>
      </c>
      <c r="F11" s="75">
        <f>Assumptions!$B17*'P&amp;L'!F6</f>
        <v>0</v>
      </c>
      <c r="G11" s="75">
        <f>Assumptions!$B17*'P&amp;L'!G6</f>
        <v>0</v>
      </c>
      <c r="H11" s="75">
        <f>Assumptions!$B17*'P&amp;L'!H6</f>
        <v>0</v>
      </c>
      <c r="I11" s="75">
        <f>Assumptions!$B17*'P&amp;L'!I6</f>
        <v>0</v>
      </c>
      <c r="J11" s="75">
        <f>Assumptions!$B17*'P&amp;L'!J6</f>
        <v>0</v>
      </c>
      <c r="K11" s="75">
        <f>Assumptions!$B17*'P&amp;L'!K6</f>
        <v>35.21069165</v>
      </c>
      <c r="L11" s="75">
        <f>Assumptions!$B17*'P&amp;L'!L6</f>
        <v>45.04760157</v>
      </c>
      <c r="M11" s="75">
        <f>Assumptions!$B17*'P&amp;L'!M6</f>
        <v>57.57439446</v>
      </c>
      <c r="N11" s="75">
        <f>Assumptions!$B17*'P&amp;L'!N6</f>
        <v>137.8326877</v>
      </c>
      <c r="O11" s="73"/>
      <c r="P11" s="75">
        <f>Assumptions!$C17*'P&amp;L'!P6</f>
        <v>73.48998522</v>
      </c>
      <c r="Q11" s="75">
        <f>Assumptions!$C17*'P&amp;L'!Q6</f>
        <v>93.65217108</v>
      </c>
      <c r="R11" s="75">
        <f>Assumptions!$C17*'P&amp;L'!R6</f>
        <v>119.0997659</v>
      </c>
      <c r="S11" s="75">
        <f>Assumptions!$C17*'P&amp;L'!S6</f>
        <v>151.06885</v>
      </c>
      <c r="T11" s="75">
        <f>Assumptions!$C17*'P&amp;L'!T6</f>
        <v>190.9961891</v>
      </c>
      <c r="U11" s="75">
        <f>Assumptions!$C17*'P&amp;L'!U6</f>
        <v>240.4997519</v>
      </c>
      <c r="V11" s="75">
        <f>Assumptions!$C17*'P&amp;L'!V6</f>
        <v>301.3231418</v>
      </c>
      <c r="W11" s="75">
        <f>Assumptions!$C17*'P&amp;L'!W6</f>
        <v>375.2289787</v>
      </c>
      <c r="X11" s="75">
        <f>Assumptions!$C17*'P&amp;L'!X6</f>
        <v>463.8281689</v>
      </c>
      <c r="Y11" s="75">
        <f>Assumptions!$C17*'P&amp;L'!Y6</f>
        <v>568.3407451</v>
      </c>
      <c r="Z11" s="75">
        <f>Assumptions!$C17*'P&amp;L'!Z6</f>
        <v>689.3023604</v>
      </c>
      <c r="AA11" s="75">
        <f>Assumptions!$C17*'P&amp;L'!AA6</f>
        <v>826.2583486</v>
      </c>
      <c r="AB11" s="75">
        <f>Assumptions!$C17*'P&amp;L'!AB6</f>
        <v>4093.088457</v>
      </c>
      <c r="AC11" s="73"/>
      <c r="AD11" s="75">
        <f>Assumptions!$D17*'P&amp;L'!AD6</f>
        <v>977.5177146</v>
      </c>
      <c r="AE11" s="75">
        <f>Assumptions!$D17*'P&amp;L'!AE6</f>
        <v>1140.057443</v>
      </c>
      <c r="AF11" s="75">
        <f>Assumptions!$D17*'P&amp;L'!AF6</f>
        <v>1309.654365</v>
      </c>
      <c r="AG11" s="75">
        <f>Assumptions!$D17*'P&amp;L'!AG6</f>
        <v>1481.26776</v>
      </c>
      <c r="AH11" s="75">
        <f>Assumptions!$D17*'P&amp;L'!AH6</f>
        <v>1649.613905</v>
      </c>
      <c r="AI11" s="75">
        <f>Assumptions!$D17*'P&amp;L'!AI6</f>
        <v>1809.80071</v>
      </c>
      <c r="AJ11" s="75">
        <f>Assumptions!$D17*'P&amp;L'!AJ6</f>
        <v>1957.866189</v>
      </c>
      <c r="AK11" s="75">
        <f>Assumptions!$D17*'P&amp;L'!AK6</f>
        <v>2091.103209</v>
      </c>
      <c r="AL11" s="75">
        <f>Assumptions!$D17*'P&amp;L'!AL6</f>
        <v>2208.13217</v>
      </c>
      <c r="AM11" s="75">
        <f>Assumptions!$D17*'P&amp;L'!AM6</f>
        <v>2308.761197</v>
      </c>
      <c r="AN11" s="75">
        <f>Assumptions!$D17*'P&amp;L'!AN6</f>
        <v>2393.717881</v>
      </c>
      <c r="AO11" s="75">
        <f>Assumptions!$D17*'P&amp;L'!AO6</f>
        <v>2464.340804</v>
      </c>
      <c r="AP11" s="75">
        <f>Assumptions!$D17*'P&amp;L'!AP6</f>
        <v>21791.83335</v>
      </c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</row>
    <row r="12">
      <c r="BD12" s="30"/>
    </row>
    <row r="13">
      <c r="A13" s="30" t="s">
        <v>115</v>
      </c>
      <c r="B13" s="74">
        <f t="shared" ref="B13:N13" si="4">B8-B11</f>
        <v>0</v>
      </c>
      <c r="C13" s="74">
        <f t="shared" si="4"/>
        <v>0</v>
      </c>
      <c r="D13" s="74">
        <f t="shared" si="4"/>
        <v>0</v>
      </c>
      <c r="E13" s="74">
        <f t="shared" si="4"/>
        <v>0</v>
      </c>
      <c r="F13" s="74">
        <f t="shared" si="4"/>
        <v>0</v>
      </c>
      <c r="G13" s="74">
        <f t="shared" si="4"/>
        <v>0</v>
      </c>
      <c r="H13" s="74">
        <f t="shared" si="4"/>
        <v>0</v>
      </c>
      <c r="I13" s="74">
        <f t="shared" si="4"/>
        <v>0</v>
      </c>
      <c r="J13" s="74">
        <f t="shared" si="4"/>
        <v>0</v>
      </c>
      <c r="K13" s="74">
        <f t="shared" si="4"/>
        <v>3485.858473</v>
      </c>
      <c r="L13" s="74">
        <f t="shared" si="4"/>
        <v>4459.712556</v>
      </c>
      <c r="M13" s="74">
        <f t="shared" si="4"/>
        <v>5699.865052</v>
      </c>
      <c r="N13" s="74">
        <f t="shared" si="4"/>
        <v>13645.43608</v>
      </c>
      <c r="O13" s="30"/>
      <c r="P13" s="74">
        <f t="shared" ref="P13:AB13" si="5">P8-P11</f>
        <v>7275.508537</v>
      </c>
      <c r="Q13" s="74">
        <f t="shared" si="5"/>
        <v>9271.564937</v>
      </c>
      <c r="R13" s="74">
        <f t="shared" si="5"/>
        <v>11790.87682</v>
      </c>
      <c r="S13" s="74">
        <f t="shared" si="5"/>
        <v>14955.81615</v>
      </c>
      <c r="T13" s="74">
        <f t="shared" si="5"/>
        <v>18908.62272</v>
      </c>
      <c r="U13" s="74">
        <f t="shared" si="5"/>
        <v>23809.47544</v>
      </c>
      <c r="V13" s="74">
        <f t="shared" si="5"/>
        <v>29830.99104</v>
      </c>
      <c r="W13" s="74">
        <f t="shared" si="5"/>
        <v>37147.66889</v>
      </c>
      <c r="X13" s="74">
        <f t="shared" si="5"/>
        <v>45918.98873</v>
      </c>
      <c r="Y13" s="74">
        <f t="shared" si="5"/>
        <v>56265.73377</v>
      </c>
      <c r="Z13" s="74">
        <f t="shared" si="5"/>
        <v>68240.93368</v>
      </c>
      <c r="AA13" s="74">
        <f t="shared" si="5"/>
        <v>81799.57651</v>
      </c>
      <c r="AB13" s="74">
        <f t="shared" si="5"/>
        <v>405215.7572</v>
      </c>
      <c r="AC13" s="30"/>
      <c r="AD13" s="74">
        <f t="shared" ref="AD13:AP13" si="6">AD8-AD11</f>
        <v>96774.25375</v>
      </c>
      <c r="AE13" s="74">
        <f t="shared" si="6"/>
        <v>112865.6868</v>
      </c>
      <c r="AF13" s="74">
        <f t="shared" si="6"/>
        <v>129655.7821</v>
      </c>
      <c r="AG13" s="74">
        <f t="shared" si="6"/>
        <v>146645.5082</v>
      </c>
      <c r="AH13" s="74">
        <f t="shared" si="6"/>
        <v>163311.7766</v>
      </c>
      <c r="AI13" s="74">
        <f t="shared" si="6"/>
        <v>179170.2703</v>
      </c>
      <c r="AJ13" s="74">
        <f t="shared" si="6"/>
        <v>193828.7527</v>
      </c>
      <c r="AK13" s="74">
        <f t="shared" si="6"/>
        <v>207019.2177</v>
      </c>
      <c r="AL13" s="74">
        <f t="shared" si="6"/>
        <v>218605.0848</v>
      </c>
      <c r="AM13" s="74">
        <f t="shared" si="6"/>
        <v>228567.3585</v>
      </c>
      <c r="AN13" s="74">
        <f t="shared" si="6"/>
        <v>236978.0702</v>
      </c>
      <c r="AO13" s="74">
        <f t="shared" si="6"/>
        <v>243969.7396</v>
      </c>
      <c r="AP13" s="74">
        <f t="shared" si="6"/>
        <v>2157391.502</v>
      </c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>
      <c r="N14" s="30"/>
      <c r="AB14" s="30"/>
      <c r="AP14" s="30"/>
      <c r="BD14" s="30"/>
    </row>
    <row r="15">
      <c r="N15" s="30"/>
      <c r="AB15" s="30"/>
      <c r="AP15" s="30"/>
      <c r="BD15" s="30"/>
    </row>
    <row r="16">
      <c r="A16" s="30" t="s">
        <v>90</v>
      </c>
      <c r="N16" s="30"/>
      <c r="AB16" s="30"/>
      <c r="AP16" s="30"/>
      <c r="BD16" s="30"/>
    </row>
    <row r="17">
      <c r="A17" s="24" t="str">
        <f>Assumptions!A20</f>
        <v>CEO</v>
      </c>
      <c r="B17" s="45">
        <f>Assumptions!$B20/12</f>
        <v>1666.666667</v>
      </c>
      <c r="C17" s="45">
        <f>Assumptions!$B20/12</f>
        <v>1666.666667</v>
      </c>
      <c r="D17" s="45">
        <f>Assumptions!$B20/12</f>
        <v>1666.666667</v>
      </c>
      <c r="E17" s="45">
        <f>Assumptions!$B20/12</f>
        <v>1666.666667</v>
      </c>
      <c r="F17" s="45">
        <f>Assumptions!$B20/12</f>
        <v>1666.666667</v>
      </c>
      <c r="G17" s="45">
        <f>Assumptions!$B20/12</f>
        <v>1666.666667</v>
      </c>
      <c r="H17" s="45">
        <f>Assumptions!$B20/12</f>
        <v>1666.666667</v>
      </c>
      <c r="I17" s="45">
        <f>Assumptions!$B20/12</f>
        <v>1666.666667</v>
      </c>
      <c r="J17" s="45">
        <f>Assumptions!$B20/12</f>
        <v>1666.666667</v>
      </c>
      <c r="K17" s="45">
        <f>Assumptions!$B20/12</f>
        <v>1666.666667</v>
      </c>
      <c r="L17" s="45">
        <f>Assumptions!$B20/12</f>
        <v>1666.666667</v>
      </c>
      <c r="M17" s="45">
        <f>Assumptions!$B20/12</f>
        <v>1666.666667</v>
      </c>
      <c r="N17" s="73">
        <f t="shared" ref="N17:N30" si="7">SUM(B17:M17)</f>
        <v>20000</v>
      </c>
      <c r="O17" s="45"/>
      <c r="P17" s="45">
        <f>Assumptions!$C20/12</f>
        <v>2083.333333</v>
      </c>
      <c r="Q17" s="45">
        <f>Assumptions!$C20/12</f>
        <v>2083.333333</v>
      </c>
      <c r="R17" s="45">
        <f>Assumptions!$C20/12</f>
        <v>2083.333333</v>
      </c>
      <c r="S17" s="45">
        <f>Assumptions!$C20/12</f>
        <v>2083.333333</v>
      </c>
      <c r="T17" s="45">
        <f>Assumptions!$C20/12</f>
        <v>2083.333333</v>
      </c>
      <c r="U17" s="45">
        <f>Assumptions!$C20/12</f>
        <v>2083.333333</v>
      </c>
      <c r="V17" s="45">
        <f>Assumptions!$C20/12</f>
        <v>2083.333333</v>
      </c>
      <c r="W17" s="45">
        <f>Assumptions!$C20/12</f>
        <v>2083.333333</v>
      </c>
      <c r="X17" s="45">
        <f>Assumptions!$C20/12</f>
        <v>2083.333333</v>
      </c>
      <c r="Y17" s="45">
        <f>Assumptions!$C20/12</f>
        <v>2083.333333</v>
      </c>
      <c r="Z17" s="45">
        <f>Assumptions!$C20/12</f>
        <v>2083.333333</v>
      </c>
      <c r="AA17" s="45">
        <f>Assumptions!$C20/12</f>
        <v>2083.333333</v>
      </c>
      <c r="AB17" s="73">
        <f t="shared" ref="AB17:AB27" si="8">SUM(P17:AA17)</f>
        <v>25000</v>
      </c>
      <c r="AC17" s="45"/>
      <c r="AD17" s="45">
        <f>Assumptions!$D20/12</f>
        <v>3333.333333</v>
      </c>
      <c r="AE17" s="45">
        <f>Assumptions!$D20/12</f>
        <v>3333.333333</v>
      </c>
      <c r="AF17" s="45">
        <f>Assumptions!$D20/12</f>
        <v>3333.333333</v>
      </c>
      <c r="AG17" s="45">
        <f>Assumptions!$D20/12</f>
        <v>3333.333333</v>
      </c>
      <c r="AH17" s="45">
        <f>Assumptions!$D20/12</f>
        <v>3333.333333</v>
      </c>
      <c r="AI17" s="45">
        <f>Assumptions!$D20/12</f>
        <v>3333.333333</v>
      </c>
      <c r="AJ17" s="45">
        <f>Assumptions!$D20/12</f>
        <v>3333.333333</v>
      </c>
      <c r="AK17" s="45">
        <f>Assumptions!$D20/12</f>
        <v>3333.333333</v>
      </c>
      <c r="AL17" s="45">
        <f>Assumptions!$D20/12</f>
        <v>3333.333333</v>
      </c>
      <c r="AM17" s="45">
        <f>Assumptions!$D20/12</f>
        <v>3333.333333</v>
      </c>
      <c r="AN17" s="45">
        <f>Assumptions!$D20/12</f>
        <v>3333.333333</v>
      </c>
      <c r="AO17" s="45">
        <f>Assumptions!$D20/12</f>
        <v>3333.333333</v>
      </c>
      <c r="AP17" s="73">
        <f t="shared" ref="AP17:AP27" si="9">SUM(AD17:AO17)</f>
        <v>40000</v>
      </c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73"/>
    </row>
    <row r="18">
      <c r="A18" s="24" t="str">
        <f>Assumptions!A21</f>
        <v>Administration</v>
      </c>
      <c r="B18" s="45">
        <f>Assumptions!$B21/12</f>
        <v>0</v>
      </c>
      <c r="C18" s="45">
        <f>Assumptions!$B21/12</f>
        <v>0</v>
      </c>
      <c r="D18" s="45">
        <f>Assumptions!$B21/12</f>
        <v>0</v>
      </c>
      <c r="E18" s="45">
        <f>Assumptions!$B21/12</f>
        <v>0</v>
      </c>
      <c r="F18" s="45">
        <f>Assumptions!$B21/12</f>
        <v>0</v>
      </c>
      <c r="G18" s="45">
        <f>Assumptions!$B21/12</f>
        <v>0</v>
      </c>
      <c r="H18" s="45">
        <f>Assumptions!$B21/12</f>
        <v>0</v>
      </c>
      <c r="I18" s="45">
        <f>Assumptions!$B21/12</f>
        <v>0</v>
      </c>
      <c r="J18" s="45">
        <f>Assumptions!$B21/12</f>
        <v>0</v>
      </c>
      <c r="K18" s="45">
        <f>Assumptions!$B21/12</f>
        <v>0</v>
      </c>
      <c r="L18" s="45">
        <f>Assumptions!$B21/12</f>
        <v>0</v>
      </c>
      <c r="M18" s="45">
        <f>Assumptions!$B21/12</f>
        <v>0</v>
      </c>
      <c r="N18" s="73">
        <f t="shared" si="7"/>
        <v>0</v>
      </c>
      <c r="O18" s="45"/>
      <c r="P18" s="45">
        <f>Assumptions!$C21/12</f>
        <v>416.6666667</v>
      </c>
      <c r="Q18" s="45">
        <f>Assumptions!$C21/12</f>
        <v>416.6666667</v>
      </c>
      <c r="R18" s="45">
        <f>Assumptions!$C21/12</f>
        <v>416.6666667</v>
      </c>
      <c r="S18" s="45">
        <f>Assumptions!$C21/12</f>
        <v>416.6666667</v>
      </c>
      <c r="T18" s="45">
        <f>Assumptions!$C21/12</f>
        <v>416.6666667</v>
      </c>
      <c r="U18" s="45">
        <f>Assumptions!$C21/12</f>
        <v>416.6666667</v>
      </c>
      <c r="V18" s="45">
        <f>Assumptions!$C21/12</f>
        <v>416.6666667</v>
      </c>
      <c r="W18" s="45">
        <f>Assumptions!$C21/12</f>
        <v>416.6666667</v>
      </c>
      <c r="X18" s="45">
        <f>Assumptions!$C21/12</f>
        <v>416.6666667</v>
      </c>
      <c r="Y18" s="45">
        <f>Assumptions!$C21/12</f>
        <v>416.6666667</v>
      </c>
      <c r="Z18" s="45">
        <f>Assumptions!$C21/12</f>
        <v>416.6666667</v>
      </c>
      <c r="AA18" s="45">
        <f>Assumptions!$C21/12</f>
        <v>416.6666667</v>
      </c>
      <c r="AB18" s="73">
        <f t="shared" si="8"/>
        <v>5000</v>
      </c>
      <c r="AC18" s="45"/>
      <c r="AD18" s="45">
        <f>Assumptions!$D21/12</f>
        <v>416.6666667</v>
      </c>
      <c r="AE18" s="45">
        <f>Assumptions!$D21/12</f>
        <v>416.6666667</v>
      </c>
      <c r="AF18" s="45">
        <f>Assumptions!$D21/12</f>
        <v>416.6666667</v>
      </c>
      <c r="AG18" s="45">
        <f>Assumptions!$D21/12</f>
        <v>416.6666667</v>
      </c>
      <c r="AH18" s="45">
        <f>Assumptions!$D21/12</f>
        <v>416.6666667</v>
      </c>
      <c r="AI18" s="45">
        <f>Assumptions!$D21/12</f>
        <v>416.6666667</v>
      </c>
      <c r="AJ18" s="45">
        <f>Assumptions!$D21/12</f>
        <v>416.6666667</v>
      </c>
      <c r="AK18" s="45">
        <f>Assumptions!$D21/12</f>
        <v>416.6666667</v>
      </c>
      <c r="AL18" s="45">
        <f>Assumptions!$D21/12</f>
        <v>416.6666667</v>
      </c>
      <c r="AM18" s="45">
        <f>Assumptions!$D21/12</f>
        <v>416.6666667</v>
      </c>
      <c r="AN18" s="45">
        <f>Assumptions!$D21/12</f>
        <v>416.6666667</v>
      </c>
      <c r="AO18" s="45">
        <f>Assumptions!$D21/12</f>
        <v>416.6666667</v>
      </c>
      <c r="AP18" s="73">
        <f t="shared" si="9"/>
        <v>5000</v>
      </c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73"/>
    </row>
    <row r="19">
      <c r="A19" s="24" t="str">
        <f>Assumptions!A22</f>
        <v>Other Staff Costs</v>
      </c>
      <c r="B19" s="45">
        <f>Assumptions!$B22/12</f>
        <v>3333.333333</v>
      </c>
      <c r="C19" s="45">
        <f>Assumptions!$B22/12</f>
        <v>3333.333333</v>
      </c>
      <c r="D19" s="45">
        <f>Assumptions!$B22/12</f>
        <v>3333.333333</v>
      </c>
      <c r="E19" s="45">
        <f>Assumptions!$B22/12</f>
        <v>3333.333333</v>
      </c>
      <c r="F19" s="45">
        <f>Assumptions!$B22/12</f>
        <v>3333.333333</v>
      </c>
      <c r="G19" s="45">
        <f>Assumptions!$B22/12</f>
        <v>3333.333333</v>
      </c>
      <c r="H19" s="45">
        <f>Assumptions!$B22/12</f>
        <v>3333.333333</v>
      </c>
      <c r="I19" s="45">
        <f>Assumptions!$B22/12</f>
        <v>3333.333333</v>
      </c>
      <c r="J19" s="45">
        <f>Assumptions!$B22/12</f>
        <v>3333.333333</v>
      </c>
      <c r="K19" s="45">
        <f>Assumptions!$B22/12</f>
        <v>3333.333333</v>
      </c>
      <c r="L19" s="45">
        <f>Assumptions!$B22/12</f>
        <v>3333.333333</v>
      </c>
      <c r="M19" s="45">
        <f>Assumptions!$B22/12</f>
        <v>3333.333333</v>
      </c>
      <c r="N19" s="73">
        <f t="shared" si="7"/>
        <v>40000</v>
      </c>
      <c r="O19" s="45"/>
      <c r="P19" s="45">
        <f>Assumptions!$C22/12</f>
        <v>4166.666667</v>
      </c>
      <c r="Q19" s="45">
        <f>Assumptions!$C22/12</f>
        <v>4166.666667</v>
      </c>
      <c r="R19" s="45">
        <f>Assumptions!$C22/12</f>
        <v>4166.666667</v>
      </c>
      <c r="S19" s="45">
        <f>Assumptions!$C22/12</f>
        <v>4166.666667</v>
      </c>
      <c r="T19" s="45">
        <f>Assumptions!$C22/12</f>
        <v>4166.666667</v>
      </c>
      <c r="U19" s="45">
        <f>Assumptions!$C22/12</f>
        <v>4166.666667</v>
      </c>
      <c r="V19" s="45">
        <f>Assumptions!$C22/12</f>
        <v>4166.666667</v>
      </c>
      <c r="W19" s="45">
        <f>Assumptions!$C22/12</f>
        <v>4166.666667</v>
      </c>
      <c r="X19" s="45">
        <f>Assumptions!$C22/12</f>
        <v>4166.666667</v>
      </c>
      <c r="Y19" s="45">
        <f>Assumptions!$C22/12</f>
        <v>4166.666667</v>
      </c>
      <c r="Z19" s="45">
        <f>Assumptions!$C22/12</f>
        <v>4166.666667</v>
      </c>
      <c r="AA19" s="45">
        <f>Assumptions!$C22/12</f>
        <v>4166.666667</v>
      </c>
      <c r="AB19" s="73">
        <f t="shared" si="8"/>
        <v>50000</v>
      </c>
      <c r="AC19" s="45"/>
      <c r="AD19" s="45">
        <f>Assumptions!$D22/12</f>
        <v>5000</v>
      </c>
      <c r="AE19" s="45">
        <f>Assumptions!$D22/12</f>
        <v>5000</v>
      </c>
      <c r="AF19" s="45">
        <f>Assumptions!$D22/12</f>
        <v>5000</v>
      </c>
      <c r="AG19" s="45">
        <f>Assumptions!$D22/12</f>
        <v>5000</v>
      </c>
      <c r="AH19" s="45">
        <f>Assumptions!$D22/12</f>
        <v>5000</v>
      </c>
      <c r="AI19" s="45">
        <f>Assumptions!$D22/12</f>
        <v>5000</v>
      </c>
      <c r="AJ19" s="45">
        <f>Assumptions!$D22/12</f>
        <v>5000</v>
      </c>
      <c r="AK19" s="45">
        <f>Assumptions!$D22/12</f>
        <v>5000</v>
      </c>
      <c r="AL19" s="45">
        <f>Assumptions!$D22/12</f>
        <v>5000</v>
      </c>
      <c r="AM19" s="45">
        <f>Assumptions!$D22/12</f>
        <v>5000</v>
      </c>
      <c r="AN19" s="45">
        <f>Assumptions!$D22/12</f>
        <v>5000</v>
      </c>
      <c r="AO19" s="45">
        <f>Assumptions!$D22/12</f>
        <v>5000</v>
      </c>
      <c r="AP19" s="73">
        <f t="shared" si="9"/>
        <v>60000</v>
      </c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73"/>
    </row>
    <row r="20">
      <c r="A20" s="24" t="str">
        <f>Assumptions!A43</f>
        <v>Development Expenditure</v>
      </c>
      <c r="B20" s="45">
        <f>Assumptions!B45</f>
        <v>5000</v>
      </c>
      <c r="C20" s="45">
        <f>Assumptions!C45</f>
        <v>5000</v>
      </c>
      <c r="D20" s="45">
        <f>Assumptions!D45</f>
        <v>5000</v>
      </c>
      <c r="E20" s="45">
        <f>Assumptions!E45</f>
        <v>5000</v>
      </c>
      <c r="F20" s="45">
        <f>Assumptions!F45</f>
        <v>5000</v>
      </c>
      <c r="G20" s="45">
        <f>Assumptions!G45</f>
        <v>5000</v>
      </c>
      <c r="H20" s="45">
        <f>Assumptions!H45</f>
        <v>5000</v>
      </c>
      <c r="I20" s="45">
        <f>Assumptions!I45</f>
        <v>5000</v>
      </c>
      <c r="J20" s="45">
        <f>Assumptions!J45</f>
        <v>5000</v>
      </c>
      <c r="K20" s="45">
        <f>Assumptions!K45</f>
        <v>5000</v>
      </c>
      <c r="L20" s="45">
        <f>Assumptions!L45</f>
        <v>5000</v>
      </c>
      <c r="M20" s="45">
        <f>Assumptions!M45</f>
        <v>5000</v>
      </c>
      <c r="N20" s="73">
        <f t="shared" si="7"/>
        <v>60000</v>
      </c>
      <c r="O20" s="45"/>
      <c r="P20" s="45">
        <f>Assumptions!B48</f>
        <v>2000</v>
      </c>
      <c r="Q20" s="45">
        <f>Assumptions!C48</f>
        <v>0</v>
      </c>
      <c r="R20" s="45">
        <f>Assumptions!D48</f>
        <v>0</v>
      </c>
      <c r="S20" s="45">
        <f>Assumptions!E48</f>
        <v>2000</v>
      </c>
      <c r="T20" s="45">
        <f>Assumptions!F48</f>
        <v>1000</v>
      </c>
      <c r="U20" s="45">
        <f>Assumptions!G48</f>
        <v>1000</v>
      </c>
      <c r="V20" s="45">
        <f>Assumptions!H48</f>
        <v>2000</v>
      </c>
      <c r="W20" s="45">
        <f>Assumptions!I48</f>
        <v>1000</v>
      </c>
      <c r="X20" s="45">
        <f>Assumptions!J48</f>
        <v>1000</v>
      </c>
      <c r="Y20" s="45">
        <f>Assumptions!K48</f>
        <v>1000</v>
      </c>
      <c r="Z20" s="45">
        <f>Assumptions!L48</f>
        <v>1000</v>
      </c>
      <c r="AA20" s="45">
        <f>Assumptions!M48</f>
        <v>1000</v>
      </c>
      <c r="AB20" s="73">
        <f t="shared" si="8"/>
        <v>13000</v>
      </c>
      <c r="AC20" s="45"/>
      <c r="AD20" s="45">
        <f>Assumptions!B51</f>
        <v>4000</v>
      </c>
      <c r="AE20" s="45">
        <f>Assumptions!C51</f>
        <v>2000</v>
      </c>
      <c r="AF20" s="45">
        <f>Assumptions!D51</f>
        <v>2000</v>
      </c>
      <c r="AG20" s="45">
        <f>Assumptions!E51</f>
        <v>2000</v>
      </c>
      <c r="AH20" s="45">
        <f>Assumptions!F51</f>
        <v>4000</v>
      </c>
      <c r="AI20" s="45">
        <f>Assumptions!G51</f>
        <v>2000</v>
      </c>
      <c r="AJ20" s="45">
        <f>Assumptions!H51</f>
        <v>2000</v>
      </c>
      <c r="AK20" s="45">
        <f>Assumptions!I51</f>
        <v>2000</v>
      </c>
      <c r="AL20" s="45">
        <f>Assumptions!J51</f>
        <v>4000</v>
      </c>
      <c r="AM20" s="45">
        <f>Assumptions!K51</f>
        <v>2000</v>
      </c>
      <c r="AN20" s="45">
        <f>Assumptions!L51</f>
        <v>2000</v>
      </c>
      <c r="AO20" s="45">
        <f>Assumptions!M51</f>
        <v>2000</v>
      </c>
      <c r="AP20" s="73">
        <f t="shared" si="9"/>
        <v>30000</v>
      </c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73"/>
    </row>
    <row r="21" ht="15.75" customHeight="1">
      <c r="A21" s="24" t="str">
        <f>Assumptions!A23</f>
        <v>Motor &amp; travel expenses</v>
      </c>
      <c r="B21" s="45">
        <f>Assumptions!$B23/12</f>
        <v>0</v>
      </c>
      <c r="C21" s="45">
        <f>Assumptions!$B23/12</f>
        <v>0</v>
      </c>
      <c r="D21" s="45">
        <f>Assumptions!$B23/12</f>
        <v>0</v>
      </c>
      <c r="E21" s="45">
        <f>Assumptions!$B23/12</f>
        <v>0</v>
      </c>
      <c r="F21" s="45">
        <f>Assumptions!$B23/12</f>
        <v>0</v>
      </c>
      <c r="G21" s="45">
        <f>Assumptions!$B23/12</f>
        <v>0</v>
      </c>
      <c r="H21" s="45">
        <f>Assumptions!$B23/12</f>
        <v>0</v>
      </c>
      <c r="I21" s="45">
        <f>Assumptions!$B23/12</f>
        <v>0</v>
      </c>
      <c r="J21" s="45">
        <f>Assumptions!$B23/12</f>
        <v>0</v>
      </c>
      <c r="K21" s="45">
        <f>Assumptions!$B23/12</f>
        <v>0</v>
      </c>
      <c r="L21" s="45">
        <f>Assumptions!$B23/12</f>
        <v>0</v>
      </c>
      <c r="M21" s="45">
        <f>Assumptions!$B23/12</f>
        <v>0</v>
      </c>
      <c r="N21" s="73">
        <f t="shared" si="7"/>
        <v>0</v>
      </c>
      <c r="O21" s="45"/>
      <c r="P21" s="45">
        <f>Assumptions!$C23/12</f>
        <v>0</v>
      </c>
      <c r="Q21" s="45">
        <f>Assumptions!$C23/12</f>
        <v>0</v>
      </c>
      <c r="R21" s="45">
        <f>Assumptions!$C23/12</f>
        <v>0</v>
      </c>
      <c r="S21" s="45">
        <f>Assumptions!$C23/12</f>
        <v>0</v>
      </c>
      <c r="T21" s="45">
        <f>Assumptions!$C23/12</f>
        <v>0</v>
      </c>
      <c r="U21" s="45">
        <f>Assumptions!$C23/12</f>
        <v>0</v>
      </c>
      <c r="V21" s="45">
        <f>Assumptions!$C23/12</f>
        <v>0</v>
      </c>
      <c r="W21" s="45">
        <f>Assumptions!$C23/12</f>
        <v>0</v>
      </c>
      <c r="X21" s="45">
        <f>Assumptions!$C23/12</f>
        <v>0</v>
      </c>
      <c r="Y21" s="45">
        <f>Assumptions!$C23/12</f>
        <v>0</v>
      </c>
      <c r="Z21" s="45">
        <f>Assumptions!$C23/12</f>
        <v>0</v>
      </c>
      <c r="AA21" s="45">
        <f>Assumptions!$C23/12</f>
        <v>0</v>
      </c>
      <c r="AB21" s="73">
        <f t="shared" si="8"/>
        <v>0</v>
      </c>
      <c r="AC21" s="45"/>
      <c r="AD21" s="45">
        <f>Assumptions!$D23/12</f>
        <v>0</v>
      </c>
      <c r="AE21" s="45">
        <f>Assumptions!$D23/12</f>
        <v>0</v>
      </c>
      <c r="AF21" s="45">
        <f>Assumptions!$D23/12</f>
        <v>0</v>
      </c>
      <c r="AG21" s="45">
        <f>Assumptions!$D23/12</f>
        <v>0</v>
      </c>
      <c r="AH21" s="45">
        <f>Assumptions!$D23/12</f>
        <v>0</v>
      </c>
      <c r="AI21" s="45">
        <f>Assumptions!$D23/12</f>
        <v>0</v>
      </c>
      <c r="AJ21" s="45">
        <f>Assumptions!$D23/12</f>
        <v>0</v>
      </c>
      <c r="AK21" s="45">
        <f>Assumptions!$D23/12</f>
        <v>0</v>
      </c>
      <c r="AL21" s="45">
        <f>Assumptions!$D23/12</f>
        <v>0</v>
      </c>
      <c r="AM21" s="45">
        <f>Assumptions!$D23/12</f>
        <v>0</v>
      </c>
      <c r="AN21" s="45">
        <f>Assumptions!$D23/12</f>
        <v>0</v>
      </c>
      <c r="AO21" s="45">
        <f>Assumptions!$D23/12</f>
        <v>0</v>
      </c>
      <c r="AP21" s="73">
        <f t="shared" si="9"/>
        <v>0</v>
      </c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73"/>
    </row>
    <row r="22" ht="15.75" customHeight="1">
      <c r="A22" s="24" t="str">
        <f>Assumptions!A24</f>
        <v>Materials/Resources</v>
      </c>
      <c r="B22" s="45">
        <f>Assumptions!$B24/12</f>
        <v>0</v>
      </c>
      <c r="C22" s="45">
        <f>Assumptions!$B24/12</f>
        <v>0</v>
      </c>
      <c r="D22" s="45">
        <f>Assumptions!$B24/12</f>
        <v>0</v>
      </c>
      <c r="E22" s="45">
        <f>Assumptions!$B24/12</f>
        <v>0</v>
      </c>
      <c r="F22" s="45">
        <f>Assumptions!$B24/12</f>
        <v>0</v>
      </c>
      <c r="G22" s="45">
        <f>Assumptions!$B24/12</f>
        <v>0</v>
      </c>
      <c r="H22" s="45">
        <f>Assumptions!$B24/12</f>
        <v>0</v>
      </c>
      <c r="I22" s="45">
        <f>Assumptions!$B24/12</f>
        <v>0</v>
      </c>
      <c r="J22" s="45">
        <f>Assumptions!$B24/12</f>
        <v>0</v>
      </c>
      <c r="K22" s="45">
        <f>Assumptions!$B24/12</f>
        <v>0</v>
      </c>
      <c r="L22" s="45">
        <f>Assumptions!$B24/12</f>
        <v>0</v>
      </c>
      <c r="M22" s="45">
        <f>Assumptions!$B24/12</f>
        <v>0</v>
      </c>
      <c r="N22" s="73">
        <f t="shared" si="7"/>
        <v>0</v>
      </c>
      <c r="O22" s="45"/>
      <c r="P22" s="45">
        <f>Assumptions!$C24/12</f>
        <v>0</v>
      </c>
      <c r="Q22" s="45">
        <f>Assumptions!$C24/12</f>
        <v>0</v>
      </c>
      <c r="R22" s="45">
        <f>Assumptions!$C24/12</f>
        <v>0</v>
      </c>
      <c r="S22" s="45">
        <f>Assumptions!$C24/12</f>
        <v>0</v>
      </c>
      <c r="T22" s="45">
        <f>Assumptions!$C24/12</f>
        <v>0</v>
      </c>
      <c r="U22" s="45">
        <f>Assumptions!$C24/12</f>
        <v>0</v>
      </c>
      <c r="V22" s="45">
        <f>Assumptions!$C24/12</f>
        <v>0</v>
      </c>
      <c r="W22" s="45">
        <f>Assumptions!$C24/12</f>
        <v>0</v>
      </c>
      <c r="X22" s="45">
        <f>Assumptions!$C24/12</f>
        <v>0</v>
      </c>
      <c r="Y22" s="45">
        <f>Assumptions!$C24/12</f>
        <v>0</v>
      </c>
      <c r="Z22" s="45">
        <f>Assumptions!$C24/12</f>
        <v>0</v>
      </c>
      <c r="AA22" s="45">
        <f>Assumptions!$C24/12</f>
        <v>0</v>
      </c>
      <c r="AB22" s="73">
        <f t="shared" si="8"/>
        <v>0</v>
      </c>
      <c r="AC22" s="45"/>
      <c r="AD22" s="45">
        <f>Assumptions!$D24/12</f>
        <v>0</v>
      </c>
      <c r="AE22" s="45">
        <f>Assumptions!$D24/12</f>
        <v>0</v>
      </c>
      <c r="AF22" s="45">
        <f>Assumptions!$D24/12</f>
        <v>0</v>
      </c>
      <c r="AG22" s="45">
        <f>Assumptions!$D24/12</f>
        <v>0</v>
      </c>
      <c r="AH22" s="45">
        <f>Assumptions!$D24/12</f>
        <v>0</v>
      </c>
      <c r="AI22" s="45">
        <f>Assumptions!$D24/12</f>
        <v>0</v>
      </c>
      <c r="AJ22" s="45">
        <f>Assumptions!$D24/12</f>
        <v>0</v>
      </c>
      <c r="AK22" s="45">
        <f>Assumptions!$D24/12</f>
        <v>0</v>
      </c>
      <c r="AL22" s="45">
        <f>Assumptions!$D24/12</f>
        <v>0</v>
      </c>
      <c r="AM22" s="45">
        <f>Assumptions!$D24/12</f>
        <v>0</v>
      </c>
      <c r="AN22" s="45">
        <f>Assumptions!$D24/12</f>
        <v>0</v>
      </c>
      <c r="AO22" s="45">
        <f>Assumptions!$D24/12</f>
        <v>0</v>
      </c>
      <c r="AP22" s="73">
        <f t="shared" si="9"/>
        <v>0</v>
      </c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73"/>
    </row>
    <row r="23" ht="15.75" customHeight="1">
      <c r="A23" s="24" t="str">
        <f>Assumptions!A25</f>
        <v>Marketing</v>
      </c>
      <c r="B23" s="45">
        <f>Assumptions!$B25/12</f>
        <v>1666.666667</v>
      </c>
      <c r="C23" s="45">
        <f>Assumptions!$B25/12</f>
        <v>1666.666667</v>
      </c>
      <c r="D23" s="45">
        <f>Assumptions!$B25/12</f>
        <v>1666.666667</v>
      </c>
      <c r="E23" s="45">
        <f>Assumptions!$B25/12</f>
        <v>1666.666667</v>
      </c>
      <c r="F23" s="45">
        <f>Assumptions!$B25/12</f>
        <v>1666.666667</v>
      </c>
      <c r="G23" s="45">
        <f>Assumptions!$B25/12</f>
        <v>1666.666667</v>
      </c>
      <c r="H23" s="45">
        <f>Assumptions!$B25/12</f>
        <v>1666.666667</v>
      </c>
      <c r="I23" s="45">
        <f>Assumptions!$B25/12</f>
        <v>1666.666667</v>
      </c>
      <c r="J23" s="45">
        <f>Assumptions!$B25/12</f>
        <v>1666.666667</v>
      </c>
      <c r="K23" s="45">
        <f>Assumptions!$B25/12</f>
        <v>1666.666667</v>
      </c>
      <c r="L23" s="45">
        <f>Assumptions!$B25/12</f>
        <v>1666.666667</v>
      </c>
      <c r="M23" s="45">
        <f>Assumptions!$B25/12</f>
        <v>1666.666667</v>
      </c>
      <c r="N23" s="73">
        <f t="shared" si="7"/>
        <v>20000</v>
      </c>
      <c r="O23" s="45"/>
      <c r="P23" s="45">
        <f>Assumptions!$C25/12</f>
        <v>2500</v>
      </c>
      <c r="Q23" s="45">
        <f>Assumptions!$C25/12</f>
        <v>2500</v>
      </c>
      <c r="R23" s="45">
        <f>Assumptions!$C25/12</f>
        <v>2500</v>
      </c>
      <c r="S23" s="45">
        <f>Assumptions!$C25/12</f>
        <v>2500</v>
      </c>
      <c r="T23" s="45">
        <f>Assumptions!$C25/12</f>
        <v>2500</v>
      </c>
      <c r="U23" s="45">
        <f>Assumptions!$C25/12</f>
        <v>2500</v>
      </c>
      <c r="V23" s="45">
        <f>Assumptions!$C25/12</f>
        <v>2500</v>
      </c>
      <c r="W23" s="45">
        <f>Assumptions!$C25/12</f>
        <v>2500</v>
      </c>
      <c r="X23" s="45">
        <f>Assumptions!$C25/12</f>
        <v>2500</v>
      </c>
      <c r="Y23" s="45">
        <f>Assumptions!$C25/12</f>
        <v>2500</v>
      </c>
      <c r="Z23" s="45">
        <f>Assumptions!$C25/12</f>
        <v>2500</v>
      </c>
      <c r="AA23" s="45">
        <f>Assumptions!$C25/12</f>
        <v>2500</v>
      </c>
      <c r="AB23" s="73">
        <f t="shared" si="8"/>
        <v>30000</v>
      </c>
      <c r="AC23" s="45"/>
      <c r="AD23" s="45">
        <f>Assumptions!$D25/12</f>
        <v>2500</v>
      </c>
      <c r="AE23" s="45">
        <f>Assumptions!$D25/12</f>
        <v>2500</v>
      </c>
      <c r="AF23" s="45">
        <f>Assumptions!$D25/12</f>
        <v>2500</v>
      </c>
      <c r="AG23" s="45">
        <f>Assumptions!$D25/12</f>
        <v>2500</v>
      </c>
      <c r="AH23" s="45">
        <f>Assumptions!$D25/12</f>
        <v>2500</v>
      </c>
      <c r="AI23" s="45">
        <f>Assumptions!$D25/12</f>
        <v>2500</v>
      </c>
      <c r="AJ23" s="45">
        <f>Assumptions!$D25/12</f>
        <v>2500</v>
      </c>
      <c r="AK23" s="45">
        <f>Assumptions!$D25/12</f>
        <v>2500</v>
      </c>
      <c r="AL23" s="45">
        <f>Assumptions!$D25/12</f>
        <v>2500</v>
      </c>
      <c r="AM23" s="45">
        <f>Assumptions!$D25/12</f>
        <v>2500</v>
      </c>
      <c r="AN23" s="45">
        <f>Assumptions!$D25/12</f>
        <v>2500</v>
      </c>
      <c r="AO23" s="45">
        <f>Assumptions!$D25/12</f>
        <v>2500</v>
      </c>
      <c r="AP23" s="73">
        <f t="shared" si="9"/>
        <v>30000</v>
      </c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73"/>
    </row>
    <row r="24" ht="15.75" customHeight="1">
      <c r="A24" s="24" t="str">
        <f>Assumptions!A26</f>
        <v>Insurance</v>
      </c>
      <c r="B24" s="45">
        <f>Assumptions!$B26/12</f>
        <v>1166.666667</v>
      </c>
      <c r="C24" s="45">
        <f>Assumptions!$B26/12</f>
        <v>1166.666667</v>
      </c>
      <c r="D24" s="45">
        <f>Assumptions!$B26/12</f>
        <v>1166.666667</v>
      </c>
      <c r="E24" s="45">
        <f>Assumptions!$B26/12</f>
        <v>1166.666667</v>
      </c>
      <c r="F24" s="45">
        <f>Assumptions!$B26/12</f>
        <v>1166.666667</v>
      </c>
      <c r="G24" s="45">
        <f>Assumptions!$B26/12</f>
        <v>1166.666667</v>
      </c>
      <c r="H24" s="45">
        <f>Assumptions!$B26/12</f>
        <v>1166.666667</v>
      </c>
      <c r="I24" s="45">
        <f>Assumptions!$B26/12</f>
        <v>1166.666667</v>
      </c>
      <c r="J24" s="45">
        <f>Assumptions!$B26/12</f>
        <v>1166.666667</v>
      </c>
      <c r="K24" s="45">
        <f>Assumptions!$B26/12</f>
        <v>1166.666667</v>
      </c>
      <c r="L24" s="45">
        <f>Assumptions!$B26/12</f>
        <v>1166.666667</v>
      </c>
      <c r="M24" s="45">
        <f>Assumptions!$B26/12</f>
        <v>1166.666667</v>
      </c>
      <c r="N24" s="73">
        <f t="shared" si="7"/>
        <v>14000</v>
      </c>
      <c r="O24" s="45"/>
      <c r="P24" s="45">
        <f>Assumptions!$C26/12</f>
        <v>1166.666667</v>
      </c>
      <c r="Q24" s="45">
        <f>Assumptions!$C26/12</f>
        <v>1166.666667</v>
      </c>
      <c r="R24" s="45">
        <f>Assumptions!$C26/12</f>
        <v>1166.666667</v>
      </c>
      <c r="S24" s="45">
        <f>Assumptions!$C26/12</f>
        <v>1166.666667</v>
      </c>
      <c r="T24" s="45">
        <f>Assumptions!$C26/12</f>
        <v>1166.666667</v>
      </c>
      <c r="U24" s="45">
        <f>Assumptions!$C26/12</f>
        <v>1166.666667</v>
      </c>
      <c r="V24" s="45">
        <f>Assumptions!$C26/12</f>
        <v>1166.666667</v>
      </c>
      <c r="W24" s="45">
        <f>Assumptions!$C26/12</f>
        <v>1166.666667</v>
      </c>
      <c r="X24" s="45">
        <f>Assumptions!$C26/12</f>
        <v>1166.666667</v>
      </c>
      <c r="Y24" s="45">
        <f>Assumptions!$C26/12</f>
        <v>1166.666667</v>
      </c>
      <c r="Z24" s="45">
        <f>Assumptions!$C26/12</f>
        <v>1166.666667</v>
      </c>
      <c r="AA24" s="45">
        <f>Assumptions!$C26/12</f>
        <v>1166.666667</v>
      </c>
      <c r="AB24" s="73">
        <f t="shared" si="8"/>
        <v>14000</v>
      </c>
      <c r="AC24" s="45"/>
      <c r="AD24" s="45">
        <f>Assumptions!$D26/12</f>
        <v>1166.666667</v>
      </c>
      <c r="AE24" s="45">
        <f>Assumptions!$D26/12</f>
        <v>1166.666667</v>
      </c>
      <c r="AF24" s="45">
        <f>Assumptions!$D26/12</f>
        <v>1166.666667</v>
      </c>
      <c r="AG24" s="45">
        <f>Assumptions!$D26/12</f>
        <v>1166.666667</v>
      </c>
      <c r="AH24" s="45">
        <f>Assumptions!$D26/12</f>
        <v>1166.666667</v>
      </c>
      <c r="AI24" s="45">
        <f>Assumptions!$D26/12</f>
        <v>1166.666667</v>
      </c>
      <c r="AJ24" s="45">
        <f>Assumptions!$D26/12</f>
        <v>1166.666667</v>
      </c>
      <c r="AK24" s="45">
        <f>Assumptions!$D26/12</f>
        <v>1166.666667</v>
      </c>
      <c r="AL24" s="45">
        <f>Assumptions!$D26/12</f>
        <v>1166.666667</v>
      </c>
      <c r="AM24" s="45">
        <f>Assumptions!$D26/12</f>
        <v>1166.666667</v>
      </c>
      <c r="AN24" s="45">
        <f>Assumptions!$D26/12</f>
        <v>1166.666667</v>
      </c>
      <c r="AO24" s="45">
        <f>Assumptions!$D26/12</f>
        <v>1166.666667</v>
      </c>
      <c r="AP24" s="73">
        <f t="shared" si="9"/>
        <v>14000</v>
      </c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73"/>
    </row>
    <row r="25" ht="15.75" customHeight="1">
      <c r="A25" s="24" t="str">
        <f>Assumptions!A27</f>
        <v>Computer &amp; IT costs</v>
      </c>
      <c r="B25" s="45">
        <f>Assumptions!$B27/12</f>
        <v>83.33333333</v>
      </c>
      <c r="C25" s="45">
        <f>Assumptions!$B27/12</f>
        <v>83.33333333</v>
      </c>
      <c r="D25" s="45">
        <f>Assumptions!$B27/12</f>
        <v>83.33333333</v>
      </c>
      <c r="E25" s="45">
        <f>Assumptions!$B27/12</f>
        <v>83.33333333</v>
      </c>
      <c r="F25" s="45">
        <f>Assumptions!$B27/12</f>
        <v>83.33333333</v>
      </c>
      <c r="G25" s="45">
        <f>Assumptions!$B27/12</f>
        <v>83.33333333</v>
      </c>
      <c r="H25" s="45">
        <f>Assumptions!$B27/12</f>
        <v>83.33333333</v>
      </c>
      <c r="I25" s="45">
        <f>Assumptions!$B27/12</f>
        <v>83.33333333</v>
      </c>
      <c r="J25" s="45">
        <f>Assumptions!$B27/12</f>
        <v>83.33333333</v>
      </c>
      <c r="K25" s="45">
        <f>Assumptions!$B27/12</f>
        <v>83.33333333</v>
      </c>
      <c r="L25" s="45">
        <f>Assumptions!$B27/12</f>
        <v>83.33333333</v>
      </c>
      <c r="M25" s="45">
        <f>Assumptions!$B27/12</f>
        <v>83.33333333</v>
      </c>
      <c r="N25" s="73">
        <f t="shared" si="7"/>
        <v>1000</v>
      </c>
      <c r="O25" s="45"/>
      <c r="P25" s="45">
        <f>Assumptions!$C27/12</f>
        <v>83.33333333</v>
      </c>
      <c r="Q25" s="45">
        <f>Assumptions!$C27/12</f>
        <v>83.33333333</v>
      </c>
      <c r="R25" s="45">
        <f>Assumptions!$C27/12</f>
        <v>83.33333333</v>
      </c>
      <c r="S25" s="45">
        <f>Assumptions!$C27/12</f>
        <v>83.33333333</v>
      </c>
      <c r="T25" s="45">
        <f>Assumptions!$C27/12</f>
        <v>83.33333333</v>
      </c>
      <c r="U25" s="45">
        <f>Assumptions!$C27/12</f>
        <v>83.33333333</v>
      </c>
      <c r="V25" s="45">
        <f>Assumptions!$C27/12</f>
        <v>83.33333333</v>
      </c>
      <c r="W25" s="45">
        <f>Assumptions!$C27/12</f>
        <v>83.33333333</v>
      </c>
      <c r="X25" s="45">
        <f>Assumptions!$C27/12</f>
        <v>83.33333333</v>
      </c>
      <c r="Y25" s="45">
        <f>Assumptions!$C27/12</f>
        <v>83.33333333</v>
      </c>
      <c r="Z25" s="45">
        <f>Assumptions!$C27/12</f>
        <v>83.33333333</v>
      </c>
      <c r="AA25" s="45">
        <f>Assumptions!$C27/12</f>
        <v>83.33333333</v>
      </c>
      <c r="AB25" s="73">
        <f t="shared" si="8"/>
        <v>1000</v>
      </c>
      <c r="AC25" s="45"/>
      <c r="AD25" s="45">
        <f>Assumptions!$D27/12</f>
        <v>83.33333333</v>
      </c>
      <c r="AE25" s="45">
        <f>Assumptions!$D27/12</f>
        <v>83.33333333</v>
      </c>
      <c r="AF25" s="45">
        <f>Assumptions!$D27/12</f>
        <v>83.33333333</v>
      </c>
      <c r="AG25" s="45">
        <f>Assumptions!$D27/12</f>
        <v>83.33333333</v>
      </c>
      <c r="AH25" s="45">
        <f>Assumptions!$D27/12</f>
        <v>83.33333333</v>
      </c>
      <c r="AI25" s="45">
        <f>Assumptions!$D27/12</f>
        <v>83.33333333</v>
      </c>
      <c r="AJ25" s="45">
        <f>Assumptions!$D27/12</f>
        <v>83.33333333</v>
      </c>
      <c r="AK25" s="45">
        <f>Assumptions!$D27/12</f>
        <v>83.33333333</v>
      </c>
      <c r="AL25" s="45">
        <f>Assumptions!$D27/12</f>
        <v>83.33333333</v>
      </c>
      <c r="AM25" s="45">
        <f>Assumptions!$D27/12</f>
        <v>83.33333333</v>
      </c>
      <c r="AN25" s="45">
        <f>Assumptions!$D27/12</f>
        <v>83.33333333</v>
      </c>
      <c r="AO25" s="45">
        <f>Assumptions!$D27/12</f>
        <v>83.33333333</v>
      </c>
      <c r="AP25" s="73">
        <f t="shared" si="9"/>
        <v>1000</v>
      </c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73"/>
    </row>
    <row r="26" ht="15.75" customHeight="1">
      <c r="A26" s="24" t="str">
        <f>Assumptions!A28</f>
        <v>Office Rent &amp; services</v>
      </c>
      <c r="B26" s="45">
        <f>Assumptions!$B28/12</f>
        <v>0</v>
      </c>
      <c r="C26" s="45">
        <f>Assumptions!$B28/12</f>
        <v>0</v>
      </c>
      <c r="D26" s="45">
        <f>Assumptions!$B28/12</f>
        <v>0</v>
      </c>
      <c r="E26" s="45">
        <f>Assumptions!$B28/12</f>
        <v>0</v>
      </c>
      <c r="F26" s="45">
        <f>Assumptions!$B28/12</f>
        <v>0</v>
      </c>
      <c r="G26" s="45">
        <f>Assumptions!$B28/12</f>
        <v>0</v>
      </c>
      <c r="H26" s="45">
        <f>Assumptions!$B28/12</f>
        <v>0</v>
      </c>
      <c r="I26" s="45">
        <f>Assumptions!$B28/12</f>
        <v>0</v>
      </c>
      <c r="J26" s="45">
        <f>Assumptions!$B28/12</f>
        <v>0</v>
      </c>
      <c r="K26" s="45">
        <f>Assumptions!$B28/12</f>
        <v>0</v>
      </c>
      <c r="L26" s="45">
        <f>Assumptions!$B28/12</f>
        <v>0</v>
      </c>
      <c r="M26" s="45">
        <f>Assumptions!$B28/12</f>
        <v>0</v>
      </c>
      <c r="N26" s="73">
        <f t="shared" si="7"/>
        <v>0</v>
      </c>
      <c r="O26" s="45"/>
      <c r="P26" s="45">
        <f>Assumptions!$C28/12</f>
        <v>0</v>
      </c>
      <c r="Q26" s="45">
        <f>Assumptions!$C28/12</f>
        <v>0</v>
      </c>
      <c r="R26" s="45">
        <f>Assumptions!$C28/12</f>
        <v>0</v>
      </c>
      <c r="S26" s="45">
        <f>Assumptions!$C28/12</f>
        <v>0</v>
      </c>
      <c r="T26" s="45">
        <f>Assumptions!$C28/12</f>
        <v>0</v>
      </c>
      <c r="U26" s="45">
        <f>Assumptions!$C28/12</f>
        <v>0</v>
      </c>
      <c r="V26" s="45">
        <f>Assumptions!$C28/12</f>
        <v>0</v>
      </c>
      <c r="W26" s="45">
        <f>Assumptions!$C28/12</f>
        <v>0</v>
      </c>
      <c r="X26" s="45">
        <f>Assumptions!$C28/12</f>
        <v>0</v>
      </c>
      <c r="Y26" s="45">
        <f>Assumptions!$C28/12</f>
        <v>0</v>
      </c>
      <c r="Z26" s="45">
        <f>Assumptions!$C28/12</f>
        <v>0</v>
      </c>
      <c r="AA26" s="45">
        <f>Assumptions!$C28/12</f>
        <v>0</v>
      </c>
      <c r="AB26" s="73">
        <f t="shared" si="8"/>
        <v>0</v>
      </c>
      <c r="AC26" s="45"/>
      <c r="AD26" s="45">
        <f>Assumptions!$D28/12</f>
        <v>0</v>
      </c>
      <c r="AE26" s="45">
        <f>Assumptions!$D28/12</f>
        <v>0</v>
      </c>
      <c r="AF26" s="45">
        <f>Assumptions!$D28/12</f>
        <v>0</v>
      </c>
      <c r="AG26" s="45">
        <f>Assumptions!$D28/12</f>
        <v>0</v>
      </c>
      <c r="AH26" s="45">
        <f>Assumptions!$D28/12</f>
        <v>0</v>
      </c>
      <c r="AI26" s="45">
        <f>Assumptions!$D28/12</f>
        <v>0</v>
      </c>
      <c r="AJ26" s="45">
        <f>Assumptions!$D28/12</f>
        <v>0</v>
      </c>
      <c r="AK26" s="45">
        <f>Assumptions!$D28/12</f>
        <v>0</v>
      </c>
      <c r="AL26" s="45">
        <f>Assumptions!$D28/12</f>
        <v>0</v>
      </c>
      <c r="AM26" s="45">
        <f>Assumptions!$D28/12</f>
        <v>0</v>
      </c>
      <c r="AN26" s="45">
        <f>Assumptions!$D28/12</f>
        <v>0</v>
      </c>
      <c r="AO26" s="45">
        <f>Assumptions!$D28/12</f>
        <v>0</v>
      </c>
      <c r="AP26" s="73">
        <f t="shared" si="9"/>
        <v>0</v>
      </c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73"/>
    </row>
    <row r="27" ht="15.75" customHeight="1">
      <c r="A27" s="24" t="str">
        <f>Assumptions!A29</f>
        <v>Telephone</v>
      </c>
      <c r="B27" s="45">
        <f>Assumptions!$B29/12</f>
        <v>0</v>
      </c>
      <c r="C27" s="45">
        <f>Assumptions!$B29/12</f>
        <v>0</v>
      </c>
      <c r="D27" s="45">
        <f>Assumptions!$B29/12</f>
        <v>0</v>
      </c>
      <c r="E27" s="45">
        <f>Assumptions!$B29/12</f>
        <v>0</v>
      </c>
      <c r="F27" s="45">
        <f>Assumptions!$B29/12</f>
        <v>0</v>
      </c>
      <c r="G27" s="45">
        <f>Assumptions!$B29/12</f>
        <v>0</v>
      </c>
      <c r="H27" s="45">
        <f>Assumptions!$B29/12</f>
        <v>0</v>
      </c>
      <c r="I27" s="45">
        <f>Assumptions!$B29/12</f>
        <v>0</v>
      </c>
      <c r="J27" s="45">
        <f>Assumptions!$B29/12</f>
        <v>0</v>
      </c>
      <c r="K27" s="45">
        <f>Assumptions!$B29/12</f>
        <v>0</v>
      </c>
      <c r="L27" s="45">
        <f>Assumptions!$B29/12</f>
        <v>0</v>
      </c>
      <c r="M27" s="45">
        <f>Assumptions!$B29/12</f>
        <v>0</v>
      </c>
      <c r="N27" s="73">
        <f t="shared" si="7"/>
        <v>0</v>
      </c>
      <c r="O27" s="45"/>
      <c r="P27" s="45">
        <f>Assumptions!$C29/12</f>
        <v>0</v>
      </c>
      <c r="Q27" s="45">
        <f>Assumptions!$C29/12</f>
        <v>0</v>
      </c>
      <c r="R27" s="45">
        <f>Assumptions!$C29/12</f>
        <v>0</v>
      </c>
      <c r="S27" s="45">
        <f>Assumptions!$C29/12</f>
        <v>0</v>
      </c>
      <c r="T27" s="45">
        <f>Assumptions!$C29/12</f>
        <v>0</v>
      </c>
      <c r="U27" s="45">
        <f>Assumptions!$C29/12</f>
        <v>0</v>
      </c>
      <c r="V27" s="45">
        <f>Assumptions!$C29/12</f>
        <v>0</v>
      </c>
      <c r="W27" s="45">
        <f>Assumptions!$C29/12</f>
        <v>0</v>
      </c>
      <c r="X27" s="45">
        <f>Assumptions!$C29/12</f>
        <v>0</v>
      </c>
      <c r="Y27" s="45">
        <f>Assumptions!$C29/12</f>
        <v>0</v>
      </c>
      <c r="Z27" s="45">
        <f>Assumptions!$C29/12</f>
        <v>0</v>
      </c>
      <c r="AA27" s="45">
        <f>Assumptions!$C29/12</f>
        <v>0</v>
      </c>
      <c r="AB27" s="73">
        <f t="shared" si="8"/>
        <v>0</v>
      </c>
      <c r="AC27" s="45"/>
      <c r="AD27" s="45">
        <f>Assumptions!$D29/12</f>
        <v>0</v>
      </c>
      <c r="AE27" s="45">
        <f>Assumptions!$D29/12</f>
        <v>0</v>
      </c>
      <c r="AF27" s="45">
        <f>Assumptions!$D29/12</f>
        <v>0</v>
      </c>
      <c r="AG27" s="45">
        <f>Assumptions!$D29/12</f>
        <v>0</v>
      </c>
      <c r="AH27" s="45">
        <f>Assumptions!$D29/12</f>
        <v>0</v>
      </c>
      <c r="AI27" s="45">
        <f>Assumptions!$D29/12</f>
        <v>0</v>
      </c>
      <c r="AJ27" s="45">
        <f>Assumptions!$D29/12</f>
        <v>0</v>
      </c>
      <c r="AK27" s="45">
        <f>Assumptions!$D29/12</f>
        <v>0</v>
      </c>
      <c r="AL27" s="45">
        <f>Assumptions!$D29/12</f>
        <v>0</v>
      </c>
      <c r="AM27" s="45">
        <f>Assumptions!$D29/12</f>
        <v>0</v>
      </c>
      <c r="AN27" s="45">
        <f>Assumptions!$D29/12</f>
        <v>0</v>
      </c>
      <c r="AO27" s="45">
        <f>Assumptions!$D29/12</f>
        <v>0</v>
      </c>
      <c r="AP27" s="73">
        <f t="shared" si="9"/>
        <v>0</v>
      </c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73"/>
    </row>
    <row r="28" ht="15.75" customHeight="1">
      <c r="A28" s="24" t="s">
        <v>104</v>
      </c>
      <c r="B28" s="45">
        <f>Assumptions!$B41*Cashflow!B7</f>
        <v>7500</v>
      </c>
      <c r="C28" s="45">
        <f>Assumptions!$B41*Cashflow!C7</f>
        <v>0</v>
      </c>
      <c r="D28" s="45">
        <f>Assumptions!$B41*Cashflow!D7</f>
        <v>0</v>
      </c>
      <c r="E28" s="45">
        <f>Assumptions!$B41*Cashflow!E7</f>
        <v>0</v>
      </c>
      <c r="F28" s="45">
        <f>Assumptions!$B41*Cashflow!F7</f>
        <v>0</v>
      </c>
      <c r="G28" s="45">
        <f>Assumptions!$B41*Cashflow!G7</f>
        <v>0</v>
      </c>
      <c r="H28" s="45">
        <f>Assumptions!$B41*Cashflow!H7</f>
        <v>0</v>
      </c>
      <c r="I28" s="45">
        <f>Assumptions!$B41*Cashflow!I7</f>
        <v>0</v>
      </c>
      <c r="J28" s="45">
        <f>Assumptions!$B41*Cashflow!J7</f>
        <v>0</v>
      </c>
      <c r="K28" s="45">
        <f>Assumptions!$B41*Cashflow!K7</f>
        <v>0</v>
      </c>
      <c r="L28" s="45">
        <f>Assumptions!$B41*Cashflow!L7</f>
        <v>0</v>
      </c>
      <c r="M28" s="45">
        <f>Assumptions!$B41*Cashflow!M7</f>
        <v>0</v>
      </c>
      <c r="N28" s="73">
        <f t="shared" si="7"/>
        <v>7500</v>
      </c>
      <c r="O28" s="45"/>
      <c r="P28" s="45">
        <f>Assumptions!$B41*Cashflow!P7</f>
        <v>0</v>
      </c>
      <c r="Q28" s="45">
        <f>Assumptions!$B41*Cashflow!Q7</f>
        <v>0</v>
      </c>
      <c r="R28" s="45">
        <f>Assumptions!$B41*Cashflow!R7</f>
        <v>0</v>
      </c>
      <c r="S28" s="45">
        <f>Assumptions!$B41*Cashflow!S7</f>
        <v>0</v>
      </c>
      <c r="T28" s="45">
        <f>Assumptions!$B41*Cashflow!T7</f>
        <v>0</v>
      </c>
      <c r="U28" s="45">
        <f>Assumptions!$B41*Cashflow!U7</f>
        <v>0</v>
      </c>
      <c r="V28" s="45">
        <f>Assumptions!$B41*Cashflow!V7</f>
        <v>0</v>
      </c>
      <c r="W28" s="45">
        <f>Assumptions!$B41*Cashflow!W7</f>
        <v>0</v>
      </c>
      <c r="X28" s="45">
        <f>Assumptions!$B41*Cashflow!X7</f>
        <v>0</v>
      </c>
      <c r="Y28" s="45">
        <f>Assumptions!$B41*Cashflow!Y7</f>
        <v>0</v>
      </c>
      <c r="Z28" s="45">
        <f>Assumptions!$B41*Cashflow!Z7</f>
        <v>0</v>
      </c>
      <c r="AA28" s="45">
        <f>Assumptions!$B41*Cashflow!AA7</f>
        <v>0</v>
      </c>
      <c r="AB28" s="73">
        <f>Assumptions!$B41*Cashflow!AB7</f>
        <v>0</v>
      </c>
      <c r="AC28" s="45">
        <f>Assumptions!$B41*Cashflow!AC7</f>
        <v>0</v>
      </c>
      <c r="AD28" s="45">
        <f>Assumptions!$B41*Cashflow!AD7</f>
        <v>0</v>
      </c>
      <c r="AE28" s="45">
        <f>Assumptions!$B41*Cashflow!AE7</f>
        <v>0</v>
      </c>
      <c r="AF28" s="45">
        <f>Assumptions!$B41*Cashflow!AF7</f>
        <v>0</v>
      </c>
      <c r="AG28" s="45">
        <f>Assumptions!$B41*Cashflow!AG7</f>
        <v>0</v>
      </c>
      <c r="AH28" s="45">
        <f>Assumptions!$B41*Cashflow!AH7</f>
        <v>0</v>
      </c>
      <c r="AI28" s="45">
        <f>Assumptions!$B41*Cashflow!AI7</f>
        <v>0</v>
      </c>
      <c r="AJ28" s="45">
        <f>Assumptions!$B41*Cashflow!AJ7</f>
        <v>0</v>
      </c>
      <c r="AK28" s="45">
        <f>Assumptions!$B41*Cashflow!AK7</f>
        <v>0</v>
      </c>
      <c r="AL28" s="45">
        <f>Assumptions!$B41*Cashflow!AL7</f>
        <v>0</v>
      </c>
      <c r="AM28" s="45">
        <f>Assumptions!$B41*Cashflow!AM7</f>
        <v>0</v>
      </c>
      <c r="AN28" s="45">
        <f>Assumptions!$B41*Cashflow!AN7</f>
        <v>0</v>
      </c>
      <c r="AO28" s="45">
        <f>Assumptions!$B41*Cashflow!AO7</f>
        <v>0</v>
      </c>
      <c r="AP28" s="73">
        <f>Assumptions!$B41*Cashflow!AP7</f>
        <v>0</v>
      </c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73"/>
    </row>
    <row r="29" ht="15.75" customHeight="1">
      <c r="A29" s="24" t="s">
        <v>129</v>
      </c>
      <c r="B29" s="45">
        <f>Assumptions!$B54/12</f>
        <v>0</v>
      </c>
      <c r="C29" s="45">
        <f>Assumptions!$B54/12</f>
        <v>0</v>
      </c>
      <c r="D29" s="45">
        <f>Assumptions!$B54/12</f>
        <v>0</v>
      </c>
      <c r="E29" s="45">
        <f>Assumptions!$B54/12</f>
        <v>0</v>
      </c>
      <c r="F29" s="45">
        <f>Assumptions!$B54/12</f>
        <v>0</v>
      </c>
      <c r="G29" s="45">
        <f>Assumptions!$B54/12</f>
        <v>0</v>
      </c>
      <c r="H29" s="45">
        <f>Assumptions!$B54/12</f>
        <v>0</v>
      </c>
      <c r="I29" s="45">
        <f>Assumptions!$B54/12</f>
        <v>0</v>
      </c>
      <c r="J29" s="45">
        <f>Assumptions!$B54/12</f>
        <v>0</v>
      </c>
      <c r="K29" s="45">
        <f>Assumptions!$B54/12</f>
        <v>0</v>
      </c>
      <c r="L29" s="45">
        <f>Assumptions!$B54/12</f>
        <v>0</v>
      </c>
      <c r="M29" s="45">
        <f>Assumptions!$B54/12</f>
        <v>0</v>
      </c>
      <c r="N29" s="73">
        <f t="shared" si="7"/>
        <v>0</v>
      </c>
      <c r="O29" s="45"/>
      <c r="P29" s="45">
        <f>Assumptions!$C54/12</f>
        <v>833.3333333</v>
      </c>
      <c r="Q29" s="45">
        <f>Assumptions!$C54/12</f>
        <v>833.3333333</v>
      </c>
      <c r="R29" s="45">
        <f>Assumptions!$C54/12</f>
        <v>833.3333333</v>
      </c>
      <c r="S29" s="45">
        <f>Assumptions!$C54/12</f>
        <v>833.3333333</v>
      </c>
      <c r="T29" s="45">
        <f>Assumptions!$C54/12</f>
        <v>833.3333333</v>
      </c>
      <c r="U29" s="45">
        <f>Assumptions!$C54/12</f>
        <v>833.3333333</v>
      </c>
      <c r="V29" s="45">
        <f>Assumptions!$C54/12</f>
        <v>833.3333333</v>
      </c>
      <c r="W29" s="45">
        <f>Assumptions!$C54/12</f>
        <v>833.3333333</v>
      </c>
      <c r="X29" s="45">
        <f>Assumptions!$C54/12</f>
        <v>833.3333333</v>
      </c>
      <c r="Y29" s="45">
        <f>Assumptions!$C54/12</f>
        <v>833.3333333</v>
      </c>
      <c r="Z29" s="45">
        <f>Assumptions!$C54/12</f>
        <v>833.3333333</v>
      </c>
      <c r="AA29" s="45">
        <f>Assumptions!$C54/12</f>
        <v>833.3333333</v>
      </c>
      <c r="AB29" s="73">
        <f t="shared" ref="AB29:AB30" si="10">SUM(P29:AA29)</f>
        <v>10000</v>
      </c>
      <c r="AC29" s="45"/>
      <c r="AD29" s="45">
        <f>Assumptions!$D54/12</f>
        <v>833.3333333</v>
      </c>
      <c r="AE29" s="45">
        <f>Assumptions!$D54/12</f>
        <v>833.3333333</v>
      </c>
      <c r="AF29" s="45">
        <f>Assumptions!$D54/12</f>
        <v>833.3333333</v>
      </c>
      <c r="AG29" s="45">
        <f>Assumptions!$D54/12</f>
        <v>833.3333333</v>
      </c>
      <c r="AH29" s="45">
        <f>Assumptions!$D54/12</f>
        <v>833.3333333</v>
      </c>
      <c r="AI29" s="45">
        <f>Assumptions!$D54/12</f>
        <v>833.3333333</v>
      </c>
      <c r="AJ29" s="45">
        <f>Assumptions!$D54/12</f>
        <v>833.3333333</v>
      </c>
      <c r="AK29" s="45">
        <f>Assumptions!$D54/12</f>
        <v>833.3333333</v>
      </c>
      <c r="AL29" s="45">
        <f>Assumptions!$D54/12</f>
        <v>833.3333333</v>
      </c>
      <c r="AM29" s="45">
        <f>Assumptions!$D54/12</f>
        <v>833.3333333</v>
      </c>
      <c r="AN29" s="45">
        <f>Assumptions!$D54/12</f>
        <v>833.3333333</v>
      </c>
      <c r="AO29" s="45">
        <f>Assumptions!$D54/12</f>
        <v>833.3333333</v>
      </c>
      <c r="AP29" s="73">
        <f t="shared" ref="AP29:AP30" si="11">SUM(AD29:AO29)</f>
        <v>10000</v>
      </c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73"/>
    </row>
    <row r="30" ht="15.75" customHeight="1">
      <c r="A30" s="24" t="s">
        <v>130</v>
      </c>
      <c r="B30" s="45">
        <f>Assumptions!B59*0.25/12</f>
        <v>0</v>
      </c>
      <c r="C30" s="45">
        <f>Assumptions!C59*0.25/12</f>
        <v>0</v>
      </c>
      <c r="D30" s="45">
        <f>Assumptions!D59*0.25/12</f>
        <v>0</v>
      </c>
      <c r="E30" s="45">
        <f>Assumptions!E59*0.25/12</f>
        <v>0</v>
      </c>
      <c r="F30" s="45">
        <f>Assumptions!F59*0.25/12</f>
        <v>0</v>
      </c>
      <c r="G30" s="45">
        <f>Assumptions!G59*0.25/12</f>
        <v>0</v>
      </c>
      <c r="H30" s="45">
        <f>Assumptions!H59*0.25/12</f>
        <v>0</v>
      </c>
      <c r="I30" s="45">
        <f>Assumptions!I59*0.25/12</f>
        <v>0</v>
      </c>
      <c r="J30" s="45">
        <f>Assumptions!J59*0.25/12</f>
        <v>0</v>
      </c>
      <c r="K30" s="45">
        <f>Assumptions!K59*0.25/12</f>
        <v>0</v>
      </c>
      <c r="L30" s="45">
        <f>Assumptions!L59*0.25/12</f>
        <v>0</v>
      </c>
      <c r="M30" s="45">
        <f>Assumptions!M59*0.25/12</f>
        <v>0</v>
      </c>
      <c r="N30" s="73">
        <f t="shared" si="7"/>
        <v>0</v>
      </c>
      <c r="O30" s="45"/>
      <c r="P30" s="45">
        <f>Assumptions!B63*0.25/12</f>
        <v>0</v>
      </c>
      <c r="Q30" s="45">
        <f>Assumptions!C63*0.25/12</f>
        <v>0</v>
      </c>
      <c r="R30" s="45">
        <f>Assumptions!D63*0.25/12</f>
        <v>0</v>
      </c>
      <c r="S30" s="45">
        <f>Assumptions!E63*0.25/12</f>
        <v>0</v>
      </c>
      <c r="T30" s="45">
        <f>Assumptions!F63*0.25/12</f>
        <v>0</v>
      </c>
      <c r="U30" s="45">
        <f>Assumptions!G63*0.25/12</f>
        <v>0</v>
      </c>
      <c r="V30" s="45">
        <f>Assumptions!H63*0.25/12</f>
        <v>0</v>
      </c>
      <c r="W30" s="45">
        <f>Assumptions!I63*0.25/12</f>
        <v>0</v>
      </c>
      <c r="X30" s="45">
        <f>Assumptions!J63*0.25/12</f>
        <v>0</v>
      </c>
      <c r="Y30" s="45">
        <f>Assumptions!K63*0.25/12</f>
        <v>0</v>
      </c>
      <c r="Z30" s="45">
        <f>Assumptions!L63*0.25/12</f>
        <v>0</v>
      </c>
      <c r="AA30" s="45">
        <f>Assumptions!M63*0.25/12</f>
        <v>0</v>
      </c>
      <c r="AB30" s="73">
        <f t="shared" si="10"/>
        <v>0</v>
      </c>
      <c r="AC30" s="45"/>
      <c r="AD30" s="45">
        <f>Assumptions!B67*0.25/12</f>
        <v>0</v>
      </c>
      <c r="AE30" s="45">
        <f>Assumptions!C67*0.25/12</f>
        <v>0</v>
      </c>
      <c r="AF30" s="45">
        <f>Assumptions!D67*0.25/12</f>
        <v>0</v>
      </c>
      <c r="AG30" s="45">
        <f>Assumptions!E67*0.25/12</f>
        <v>0</v>
      </c>
      <c r="AH30" s="45">
        <f>Assumptions!F67*0.25/12</f>
        <v>0</v>
      </c>
      <c r="AI30" s="45">
        <f>Assumptions!G67*0.25/12</f>
        <v>0</v>
      </c>
      <c r="AJ30" s="45">
        <f>Assumptions!H67*0.25/12</f>
        <v>0</v>
      </c>
      <c r="AK30" s="45">
        <f>Assumptions!I67*0.25/12</f>
        <v>0</v>
      </c>
      <c r="AL30" s="45">
        <f>Assumptions!J67*0.25/12</f>
        <v>0</v>
      </c>
      <c r="AM30" s="45">
        <f>Assumptions!K67*0.25/12</f>
        <v>0</v>
      </c>
      <c r="AN30" s="45">
        <f>Assumptions!L67*0.25/12</f>
        <v>0</v>
      </c>
      <c r="AO30" s="45">
        <f>Assumptions!M67*0.25/12</f>
        <v>0</v>
      </c>
      <c r="AP30" s="73">
        <f t="shared" si="11"/>
        <v>0</v>
      </c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73"/>
    </row>
    <row r="31" ht="15.75" customHeight="1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73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7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73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30"/>
    </row>
    <row r="32" ht="15.75" customHeight="1">
      <c r="A32" s="30" t="s">
        <v>125</v>
      </c>
      <c r="B32" s="90">
        <f t="shared" ref="B32:M32" si="12">SUM(B17:B31)</f>
        <v>20416.66667</v>
      </c>
      <c r="C32" s="90">
        <f t="shared" si="12"/>
        <v>12916.66667</v>
      </c>
      <c r="D32" s="90">
        <f t="shared" si="12"/>
        <v>12916.66667</v>
      </c>
      <c r="E32" s="90">
        <f t="shared" si="12"/>
        <v>12916.66667</v>
      </c>
      <c r="F32" s="90">
        <f t="shared" si="12"/>
        <v>12916.66667</v>
      </c>
      <c r="G32" s="90">
        <f t="shared" si="12"/>
        <v>12916.66667</v>
      </c>
      <c r="H32" s="90">
        <f t="shared" si="12"/>
        <v>12916.66667</v>
      </c>
      <c r="I32" s="90">
        <f t="shared" si="12"/>
        <v>12916.66667</v>
      </c>
      <c r="J32" s="90">
        <f t="shared" si="12"/>
        <v>12916.66667</v>
      </c>
      <c r="K32" s="90">
        <f t="shared" si="12"/>
        <v>12916.66667</v>
      </c>
      <c r="L32" s="90">
        <f t="shared" si="12"/>
        <v>12916.66667</v>
      </c>
      <c r="M32" s="90">
        <f t="shared" si="12"/>
        <v>12916.66667</v>
      </c>
      <c r="N32" s="74">
        <f>SUM(B32:M32)</f>
        <v>162500</v>
      </c>
      <c r="O32" s="45"/>
      <c r="P32" s="90">
        <f t="shared" ref="P32:AA32" si="13">SUM(P17:P31)</f>
        <v>13250</v>
      </c>
      <c r="Q32" s="90">
        <f t="shared" si="13"/>
        <v>11250</v>
      </c>
      <c r="R32" s="90">
        <f t="shared" si="13"/>
        <v>11250</v>
      </c>
      <c r="S32" s="90">
        <f t="shared" si="13"/>
        <v>13250</v>
      </c>
      <c r="T32" s="90">
        <f t="shared" si="13"/>
        <v>12250</v>
      </c>
      <c r="U32" s="90">
        <f t="shared" si="13"/>
        <v>12250</v>
      </c>
      <c r="V32" s="90">
        <f t="shared" si="13"/>
        <v>13250</v>
      </c>
      <c r="W32" s="90">
        <f t="shared" si="13"/>
        <v>12250</v>
      </c>
      <c r="X32" s="90">
        <f t="shared" si="13"/>
        <v>12250</v>
      </c>
      <c r="Y32" s="90">
        <f t="shared" si="13"/>
        <v>12250</v>
      </c>
      <c r="Z32" s="90">
        <f t="shared" si="13"/>
        <v>12250</v>
      </c>
      <c r="AA32" s="90">
        <f t="shared" si="13"/>
        <v>12250</v>
      </c>
      <c r="AB32" s="74">
        <f>SUM(P32:AA32)</f>
        <v>148000</v>
      </c>
      <c r="AC32" s="45"/>
      <c r="AD32" s="90">
        <f t="shared" ref="AD32:AO32" si="14">SUM(AD17:AD31)</f>
        <v>17333.33333</v>
      </c>
      <c r="AE32" s="90">
        <f t="shared" si="14"/>
        <v>15333.33333</v>
      </c>
      <c r="AF32" s="90">
        <f t="shared" si="14"/>
        <v>15333.33333</v>
      </c>
      <c r="AG32" s="90">
        <f t="shared" si="14"/>
        <v>15333.33333</v>
      </c>
      <c r="AH32" s="90">
        <f t="shared" si="14"/>
        <v>17333.33333</v>
      </c>
      <c r="AI32" s="90">
        <f t="shared" si="14"/>
        <v>15333.33333</v>
      </c>
      <c r="AJ32" s="90">
        <f t="shared" si="14"/>
        <v>15333.33333</v>
      </c>
      <c r="AK32" s="90">
        <f t="shared" si="14"/>
        <v>15333.33333</v>
      </c>
      <c r="AL32" s="90">
        <f t="shared" si="14"/>
        <v>17333.33333</v>
      </c>
      <c r="AM32" s="90">
        <f t="shared" si="14"/>
        <v>15333.33333</v>
      </c>
      <c r="AN32" s="90">
        <f t="shared" si="14"/>
        <v>15333.33333</v>
      </c>
      <c r="AO32" s="90">
        <f t="shared" si="14"/>
        <v>15333.33333</v>
      </c>
      <c r="AP32" s="74">
        <f>SUM(AD32:AO32)</f>
        <v>190000</v>
      </c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73"/>
    </row>
    <row r="33" ht="15.75" customHeight="1">
      <c r="N33" s="30"/>
      <c r="AB33" s="30"/>
      <c r="AP33" s="30"/>
      <c r="BD33" s="30"/>
    </row>
    <row r="34" ht="15.75" customHeight="1"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73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73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30"/>
      <c r="BB34" s="45"/>
      <c r="BC34" s="45"/>
      <c r="BD34" s="73"/>
      <c r="BE34" s="45"/>
      <c r="BF34" s="45"/>
      <c r="BG34" s="45"/>
      <c r="BH34" s="45"/>
      <c r="BI34" s="45"/>
      <c r="BJ34" s="45"/>
    </row>
    <row r="35" ht="15.75" customHeight="1">
      <c r="A35" s="30" t="s">
        <v>131</v>
      </c>
      <c r="B35" s="91">
        <f t="shared" ref="B35:N35" si="15">B13-B32</f>
        <v>-20416.66667</v>
      </c>
      <c r="C35" s="91">
        <f t="shared" si="15"/>
        <v>-12916.66667</v>
      </c>
      <c r="D35" s="91">
        <f t="shared" si="15"/>
        <v>-12916.66667</v>
      </c>
      <c r="E35" s="91">
        <f t="shared" si="15"/>
        <v>-12916.66667</v>
      </c>
      <c r="F35" s="91">
        <f t="shared" si="15"/>
        <v>-12916.66667</v>
      </c>
      <c r="G35" s="91">
        <f t="shared" si="15"/>
        <v>-12916.66667</v>
      </c>
      <c r="H35" s="91">
        <f t="shared" si="15"/>
        <v>-12916.66667</v>
      </c>
      <c r="I35" s="91">
        <f t="shared" si="15"/>
        <v>-12916.66667</v>
      </c>
      <c r="J35" s="91">
        <f t="shared" si="15"/>
        <v>-12916.66667</v>
      </c>
      <c r="K35" s="91">
        <f t="shared" si="15"/>
        <v>-9430.808194</v>
      </c>
      <c r="L35" s="91">
        <f t="shared" si="15"/>
        <v>-8456.954111</v>
      </c>
      <c r="M35" s="91">
        <f t="shared" si="15"/>
        <v>-7216.801615</v>
      </c>
      <c r="N35" s="91">
        <f t="shared" si="15"/>
        <v>-148854.5639</v>
      </c>
      <c r="O35" s="73"/>
      <c r="P35" s="91">
        <f t="shared" ref="P35:AB35" si="16">P13-P32</f>
        <v>-5974.491463</v>
      </c>
      <c r="Q35" s="91">
        <f t="shared" si="16"/>
        <v>-1978.435063</v>
      </c>
      <c r="R35" s="91">
        <f t="shared" si="16"/>
        <v>540.8768243</v>
      </c>
      <c r="S35" s="91">
        <f t="shared" si="16"/>
        <v>1705.816151</v>
      </c>
      <c r="T35" s="91">
        <f t="shared" si="16"/>
        <v>6658.622716</v>
      </c>
      <c r="U35" s="91">
        <f t="shared" si="16"/>
        <v>11559.47544</v>
      </c>
      <c r="V35" s="91">
        <f t="shared" si="16"/>
        <v>16580.99104</v>
      </c>
      <c r="W35" s="91">
        <f t="shared" si="16"/>
        <v>24897.66889</v>
      </c>
      <c r="X35" s="91">
        <f t="shared" si="16"/>
        <v>33668.98873</v>
      </c>
      <c r="Y35" s="91">
        <f t="shared" si="16"/>
        <v>44015.73377</v>
      </c>
      <c r="Z35" s="91">
        <f t="shared" si="16"/>
        <v>55990.93368</v>
      </c>
      <c r="AA35" s="91">
        <f t="shared" si="16"/>
        <v>69549.57651</v>
      </c>
      <c r="AB35" s="91">
        <f t="shared" si="16"/>
        <v>257215.7572</v>
      </c>
      <c r="AC35" s="73"/>
      <c r="AD35" s="91">
        <f t="shared" ref="AD35:AP35" si="17">AD13-AD32</f>
        <v>79440.92041</v>
      </c>
      <c r="AE35" s="91">
        <f t="shared" si="17"/>
        <v>97532.3535</v>
      </c>
      <c r="AF35" s="91">
        <f t="shared" si="17"/>
        <v>114322.4488</v>
      </c>
      <c r="AG35" s="91">
        <f t="shared" si="17"/>
        <v>131312.1749</v>
      </c>
      <c r="AH35" s="91">
        <f t="shared" si="17"/>
        <v>145978.4433</v>
      </c>
      <c r="AI35" s="91">
        <f t="shared" si="17"/>
        <v>163836.937</v>
      </c>
      <c r="AJ35" s="91">
        <f t="shared" si="17"/>
        <v>178495.4194</v>
      </c>
      <c r="AK35" s="91">
        <f t="shared" si="17"/>
        <v>191685.8844</v>
      </c>
      <c r="AL35" s="91">
        <f t="shared" si="17"/>
        <v>201271.7515</v>
      </c>
      <c r="AM35" s="91">
        <f t="shared" si="17"/>
        <v>213234.0252</v>
      </c>
      <c r="AN35" s="91">
        <f t="shared" si="17"/>
        <v>221644.7369</v>
      </c>
      <c r="AO35" s="92">
        <f t="shared" si="17"/>
        <v>228636.4062</v>
      </c>
      <c r="AP35" s="91">
        <f t="shared" si="17"/>
        <v>1967391.502</v>
      </c>
      <c r="AQ35" s="73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30"/>
      <c r="BF35" s="30"/>
      <c r="BG35" s="30"/>
      <c r="BH35" s="30"/>
      <c r="BI35" s="30"/>
      <c r="BJ35" s="30"/>
    </row>
    <row r="36" ht="15.75" customHeight="1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82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73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73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30"/>
    </row>
    <row r="37" ht="15.75" customHeight="1">
      <c r="A37" s="24" t="s">
        <v>132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>
        <v>0.0</v>
      </c>
      <c r="N37" s="82">
        <f>SUM(B37:M37)</f>
        <v>0</v>
      </c>
      <c r="AA37" s="79">
        <f>IF((AB35+N35)*0.2&gt;0,(AB35+N35)*0.19,0)</f>
        <v>20588.62673</v>
      </c>
      <c r="AB37" s="82">
        <f>SUM(P37:AA37)</f>
        <v>20588.62673</v>
      </c>
      <c r="AO37" s="79">
        <f>IF((N35+AB35+AP35)*0.2&gt;0,(N35+AB35+AP35)*-0.19,0)</f>
        <v>-394393.012</v>
      </c>
      <c r="AP37" s="82">
        <f>SUM(AD37:AO37)</f>
        <v>-394393.012</v>
      </c>
      <c r="BC37" s="79"/>
      <c r="BD37" s="82"/>
    </row>
    <row r="38" ht="15.75" customHeight="1"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82"/>
      <c r="AB38" s="30"/>
      <c r="AP38" s="30"/>
      <c r="BD38" s="30"/>
    </row>
    <row r="39" ht="15.75" customHeight="1">
      <c r="A39" s="30" t="s">
        <v>133</v>
      </c>
      <c r="B39" s="80">
        <f t="shared" ref="B39:N39" si="18">SUM(B35:B38)</f>
        <v>-20416.66667</v>
      </c>
      <c r="C39" s="80">
        <f t="shared" si="18"/>
        <v>-12916.66667</v>
      </c>
      <c r="D39" s="80">
        <f t="shared" si="18"/>
        <v>-12916.66667</v>
      </c>
      <c r="E39" s="80">
        <f t="shared" si="18"/>
        <v>-12916.66667</v>
      </c>
      <c r="F39" s="80">
        <f t="shared" si="18"/>
        <v>-12916.66667</v>
      </c>
      <c r="G39" s="80">
        <f t="shared" si="18"/>
        <v>-12916.66667</v>
      </c>
      <c r="H39" s="80">
        <f t="shared" si="18"/>
        <v>-12916.66667</v>
      </c>
      <c r="I39" s="80">
        <f t="shared" si="18"/>
        <v>-12916.66667</v>
      </c>
      <c r="J39" s="80">
        <f t="shared" si="18"/>
        <v>-12916.66667</v>
      </c>
      <c r="K39" s="80">
        <f t="shared" si="18"/>
        <v>-9430.808194</v>
      </c>
      <c r="L39" s="80">
        <f t="shared" si="18"/>
        <v>-8456.954111</v>
      </c>
      <c r="M39" s="80">
        <f t="shared" si="18"/>
        <v>-7216.801615</v>
      </c>
      <c r="N39" s="80">
        <f t="shared" si="18"/>
        <v>-148854.5639</v>
      </c>
      <c r="O39" s="30"/>
      <c r="P39" s="80">
        <f t="shared" ref="P39:AB39" si="19">SUM(P35:P38)</f>
        <v>-5974.491463</v>
      </c>
      <c r="Q39" s="80">
        <f t="shared" si="19"/>
        <v>-1978.435063</v>
      </c>
      <c r="R39" s="80">
        <f t="shared" si="19"/>
        <v>540.8768243</v>
      </c>
      <c r="S39" s="80">
        <f t="shared" si="19"/>
        <v>1705.816151</v>
      </c>
      <c r="T39" s="80">
        <f t="shared" si="19"/>
        <v>6658.622716</v>
      </c>
      <c r="U39" s="80">
        <f t="shared" si="19"/>
        <v>11559.47544</v>
      </c>
      <c r="V39" s="80">
        <f t="shared" si="19"/>
        <v>16580.99104</v>
      </c>
      <c r="W39" s="80">
        <f t="shared" si="19"/>
        <v>24897.66889</v>
      </c>
      <c r="X39" s="80">
        <f t="shared" si="19"/>
        <v>33668.98873</v>
      </c>
      <c r="Y39" s="80">
        <f t="shared" si="19"/>
        <v>44015.73377</v>
      </c>
      <c r="Z39" s="80">
        <f t="shared" si="19"/>
        <v>55990.93368</v>
      </c>
      <c r="AA39" s="80">
        <f t="shared" si="19"/>
        <v>90138.20323</v>
      </c>
      <c r="AB39" s="80">
        <f t="shared" si="19"/>
        <v>277804.3839</v>
      </c>
      <c r="AC39" s="30"/>
      <c r="AD39" s="80">
        <f t="shared" ref="AD39:AP39" si="20">SUM(AD35:AD38)</f>
        <v>79440.92041</v>
      </c>
      <c r="AE39" s="80">
        <f t="shared" si="20"/>
        <v>97532.3535</v>
      </c>
      <c r="AF39" s="80">
        <f t="shared" si="20"/>
        <v>114322.4488</v>
      </c>
      <c r="AG39" s="80">
        <f t="shared" si="20"/>
        <v>131312.1749</v>
      </c>
      <c r="AH39" s="80">
        <f t="shared" si="20"/>
        <v>145978.4433</v>
      </c>
      <c r="AI39" s="80">
        <f t="shared" si="20"/>
        <v>163836.937</v>
      </c>
      <c r="AJ39" s="80">
        <f t="shared" si="20"/>
        <v>178495.4194</v>
      </c>
      <c r="AK39" s="80">
        <f t="shared" si="20"/>
        <v>191685.8844</v>
      </c>
      <c r="AL39" s="80">
        <f t="shared" si="20"/>
        <v>201271.7515</v>
      </c>
      <c r="AM39" s="80">
        <f t="shared" si="20"/>
        <v>213234.0252</v>
      </c>
      <c r="AN39" s="80">
        <f t="shared" si="20"/>
        <v>221644.7369</v>
      </c>
      <c r="AO39" s="80">
        <f t="shared" si="20"/>
        <v>-165756.6058</v>
      </c>
      <c r="AP39" s="80">
        <f t="shared" si="20"/>
        <v>1572998.489</v>
      </c>
      <c r="AQ39" s="30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30"/>
      <c r="BF39" s="30"/>
      <c r="BG39" s="30"/>
      <c r="BH39" s="30"/>
      <c r="BI39" s="30"/>
      <c r="BJ39" s="30"/>
    </row>
    <row r="40" ht="15.75" customHeight="1">
      <c r="N40" s="30"/>
      <c r="AB40" s="30"/>
      <c r="AP40" s="30"/>
      <c r="BD40" s="30"/>
    </row>
    <row r="41" ht="15.75" customHeight="1">
      <c r="N41" s="30"/>
      <c r="AB41" s="30"/>
      <c r="AP41" s="30"/>
      <c r="BD41" s="30"/>
    </row>
    <row r="42" ht="15.75" customHeight="1">
      <c r="N42" s="30"/>
      <c r="AB42" s="30"/>
      <c r="AP42" s="30"/>
      <c r="BD42" s="30"/>
    </row>
    <row r="43" ht="15.75" customHeight="1">
      <c r="N43" s="30"/>
      <c r="AB43" s="30"/>
      <c r="AP43" s="30"/>
      <c r="BD43" s="30"/>
    </row>
    <row r="44" ht="15.75" customHeight="1">
      <c r="N44" s="30"/>
      <c r="AB44" s="30"/>
      <c r="AP44" s="30"/>
      <c r="BD44" s="30"/>
    </row>
    <row r="45" ht="15.75" customHeight="1">
      <c r="N45" s="30"/>
      <c r="AB45" s="30"/>
      <c r="AP45" s="30"/>
      <c r="BD45" s="30"/>
    </row>
    <row r="46" ht="15.75" customHeight="1">
      <c r="N46" s="30"/>
      <c r="AB46" s="30"/>
      <c r="AP46" s="30"/>
      <c r="BD46" s="30"/>
    </row>
    <row r="47" ht="15.75" customHeight="1">
      <c r="N47" s="30"/>
      <c r="AB47" s="30"/>
      <c r="AP47" s="30"/>
      <c r="BD47" s="30"/>
    </row>
    <row r="48" ht="15.75" customHeight="1">
      <c r="N48" s="30"/>
      <c r="AB48" s="30"/>
      <c r="AP48" s="30"/>
      <c r="BD48" s="30"/>
    </row>
    <row r="49" ht="15.75" customHeight="1">
      <c r="N49" s="30"/>
      <c r="AB49" s="30"/>
      <c r="AP49" s="30"/>
      <c r="BD49" s="30"/>
    </row>
    <row r="50" ht="15.75" customHeight="1">
      <c r="N50" s="30"/>
      <c r="AB50" s="30"/>
      <c r="AP50" s="30"/>
      <c r="BD50" s="30"/>
    </row>
    <row r="51" ht="15.75" customHeight="1">
      <c r="N51" s="30"/>
      <c r="AB51" s="30"/>
      <c r="AP51" s="30"/>
      <c r="BD51" s="30"/>
    </row>
    <row r="52" ht="15.75" customHeight="1">
      <c r="N52" s="30"/>
      <c r="AB52" s="30"/>
      <c r="AP52" s="30"/>
      <c r="BD52" s="30"/>
    </row>
    <row r="53" ht="15.75" customHeight="1">
      <c r="N53" s="30"/>
      <c r="AB53" s="30"/>
      <c r="AP53" s="30"/>
      <c r="BD53" s="30"/>
    </row>
    <row r="54" ht="15.75" customHeight="1">
      <c r="N54" s="30"/>
      <c r="AB54" s="30"/>
      <c r="AP54" s="30"/>
      <c r="BD54" s="30"/>
    </row>
    <row r="55" ht="15.75" customHeight="1">
      <c r="N55" s="30"/>
      <c r="AB55" s="30"/>
      <c r="AP55" s="30"/>
      <c r="BD55" s="30"/>
    </row>
    <row r="56" ht="15.75" customHeight="1">
      <c r="N56" s="30"/>
      <c r="AB56" s="30"/>
      <c r="AP56" s="30"/>
      <c r="BD56" s="30"/>
    </row>
    <row r="57" ht="15.75" customHeight="1">
      <c r="N57" s="30"/>
      <c r="AB57" s="30"/>
      <c r="AP57" s="30"/>
      <c r="BD57" s="30"/>
    </row>
    <row r="58" ht="15.75" customHeight="1">
      <c r="N58" s="30"/>
      <c r="AB58" s="30"/>
      <c r="AP58" s="30"/>
      <c r="BD58" s="30"/>
    </row>
    <row r="59" ht="15.75" customHeight="1">
      <c r="N59" s="30"/>
      <c r="AB59" s="30"/>
      <c r="AP59" s="30"/>
      <c r="BD59" s="30"/>
    </row>
    <row r="60" ht="15.75" customHeight="1">
      <c r="N60" s="30"/>
      <c r="AB60" s="30"/>
      <c r="AP60" s="30"/>
      <c r="BD60" s="30"/>
    </row>
    <row r="61" ht="15.75" customHeight="1">
      <c r="N61" s="30"/>
      <c r="AB61" s="30"/>
      <c r="AP61" s="30"/>
      <c r="BD61" s="30"/>
    </row>
    <row r="62" ht="15.75" customHeight="1">
      <c r="N62" s="30"/>
      <c r="AB62" s="30"/>
      <c r="AP62" s="30"/>
      <c r="BD62" s="30"/>
    </row>
    <row r="63" ht="15.75" customHeight="1">
      <c r="N63" s="30"/>
      <c r="AB63" s="30"/>
      <c r="AP63" s="30"/>
      <c r="BD63" s="30"/>
    </row>
    <row r="64" ht="15.75" customHeight="1">
      <c r="N64" s="30"/>
      <c r="AB64" s="30"/>
      <c r="AP64" s="30"/>
      <c r="BD64" s="30"/>
    </row>
    <row r="65" ht="15.75" customHeight="1">
      <c r="N65" s="30"/>
      <c r="AB65" s="30"/>
      <c r="AP65" s="30"/>
      <c r="BD65" s="30"/>
    </row>
    <row r="66" ht="15.75" customHeight="1">
      <c r="N66" s="30"/>
      <c r="AB66" s="30"/>
      <c r="AP66" s="30"/>
      <c r="BD66" s="30"/>
    </row>
    <row r="67" ht="15.75" customHeight="1">
      <c r="N67" s="30"/>
      <c r="AB67" s="30"/>
      <c r="AP67" s="30"/>
      <c r="BD67" s="30"/>
    </row>
    <row r="68" ht="15.75" customHeight="1">
      <c r="N68" s="30"/>
      <c r="AB68" s="30"/>
      <c r="AP68" s="30"/>
      <c r="BD68" s="30"/>
    </row>
    <row r="69" ht="15.75" customHeight="1">
      <c r="N69" s="30"/>
      <c r="AB69" s="30"/>
      <c r="AP69" s="30"/>
      <c r="BD69" s="30"/>
    </row>
    <row r="70" ht="15.75" customHeight="1">
      <c r="N70" s="30"/>
      <c r="AB70" s="30"/>
      <c r="AP70" s="30"/>
      <c r="BD70" s="30"/>
    </row>
    <row r="71" ht="15.75" customHeight="1">
      <c r="N71" s="30"/>
      <c r="AB71" s="30"/>
      <c r="AP71" s="30"/>
      <c r="BD71" s="30"/>
    </row>
    <row r="72" ht="15.75" customHeight="1">
      <c r="N72" s="30"/>
      <c r="AB72" s="30"/>
      <c r="AP72" s="30"/>
      <c r="BD72" s="30"/>
    </row>
    <row r="73" ht="15.75" customHeight="1">
      <c r="N73" s="30"/>
      <c r="AB73" s="30"/>
      <c r="AP73" s="30"/>
      <c r="BD73" s="30"/>
    </row>
    <row r="74" ht="15.75" customHeight="1">
      <c r="N74" s="30"/>
      <c r="AB74" s="30"/>
      <c r="AP74" s="30"/>
      <c r="BD74" s="30"/>
    </row>
    <row r="75" ht="15.75" customHeight="1">
      <c r="N75" s="30"/>
      <c r="AB75" s="30"/>
      <c r="AP75" s="30"/>
      <c r="BD75" s="30"/>
    </row>
    <row r="76" ht="15.75" customHeight="1">
      <c r="N76" s="30"/>
      <c r="AB76" s="30"/>
      <c r="AP76" s="30"/>
      <c r="BD76" s="30"/>
    </row>
    <row r="77" ht="15.75" customHeight="1">
      <c r="N77" s="30"/>
      <c r="AB77" s="30"/>
      <c r="AP77" s="30"/>
      <c r="BD77" s="30"/>
    </row>
    <row r="78" ht="15.75" customHeight="1">
      <c r="N78" s="30"/>
      <c r="AB78" s="30"/>
      <c r="AP78" s="30"/>
      <c r="BD78" s="30"/>
    </row>
    <row r="79" ht="15.75" customHeight="1">
      <c r="N79" s="30"/>
      <c r="AB79" s="30"/>
      <c r="AP79" s="30"/>
      <c r="BD79" s="30"/>
    </row>
    <row r="80" ht="15.75" customHeight="1">
      <c r="N80" s="30"/>
      <c r="AB80" s="30"/>
      <c r="AP80" s="30"/>
      <c r="BD80" s="30"/>
    </row>
    <row r="81" ht="15.75" customHeight="1">
      <c r="N81" s="30"/>
      <c r="AB81" s="30"/>
      <c r="AP81" s="30"/>
      <c r="BD81" s="30"/>
    </row>
    <row r="82" ht="15.75" customHeight="1">
      <c r="N82" s="30"/>
      <c r="AB82" s="30"/>
      <c r="AP82" s="30"/>
      <c r="BD82" s="30"/>
    </row>
    <row r="83" ht="15.75" customHeight="1">
      <c r="N83" s="30"/>
      <c r="AB83" s="30"/>
      <c r="AP83" s="30"/>
      <c r="BD83" s="30"/>
    </row>
    <row r="84" ht="15.75" customHeight="1">
      <c r="N84" s="30"/>
      <c r="AB84" s="30"/>
      <c r="AP84" s="30"/>
      <c r="BD84" s="30"/>
    </row>
    <row r="85" ht="15.75" customHeight="1">
      <c r="N85" s="30"/>
      <c r="AB85" s="30"/>
      <c r="AP85" s="30"/>
      <c r="BD85" s="30"/>
    </row>
    <row r="86" ht="15.75" customHeight="1">
      <c r="N86" s="30"/>
      <c r="AB86" s="30"/>
      <c r="AP86" s="30"/>
      <c r="BD86" s="30"/>
    </row>
    <row r="87" ht="15.75" customHeight="1">
      <c r="N87" s="30"/>
      <c r="AB87" s="30"/>
      <c r="AP87" s="30"/>
      <c r="BD87" s="30"/>
    </row>
    <row r="88" ht="15.75" customHeight="1">
      <c r="N88" s="30"/>
      <c r="AB88" s="30"/>
      <c r="AP88" s="30"/>
      <c r="BD88" s="30"/>
    </row>
    <row r="89" ht="15.75" customHeight="1">
      <c r="N89" s="30"/>
      <c r="AB89" s="30"/>
      <c r="AP89" s="30"/>
      <c r="BD89" s="30"/>
    </row>
    <row r="90" ht="15.75" customHeight="1">
      <c r="N90" s="30"/>
      <c r="AB90" s="30"/>
      <c r="AP90" s="30"/>
      <c r="BD90" s="30"/>
    </row>
    <row r="91" ht="15.75" customHeight="1">
      <c r="N91" s="30"/>
      <c r="AB91" s="30"/>
      <c r="AP91" s="30"/>
      <c r="BD91" s="30"/>
    </row>
    <row r="92" ht="15.75" customHeight="1">
      <c r="N92" s="30"/>
      <c r="AB92" s="30"/>
      <c r="AP92" s="30"/>
      <c r="BD92" s="30"/>
    </row>
    <row r="93" ht="15.75" customHeight="1">
      <c r="N93" s="30"/>
      <c r="AB93" s="30"/>
      <c r="AP93" s="30"/>
      <c r="BD93" s="30"/>
    </row>
    <row r="94" ht="15.75" customHeight="1">
      <c r="N94" s="30"/>
      <c r="AB94" s="30"/>
      <c r="AP94" s="30"/>
      <c r="BD94" s="30"/>
    </row>
    <row r="95" ht="15.75" customHeight="1">
      <c r="N95" s="30"/>
      <c r="AB95" s="30"/>
      <c r="AP95" s="30"/>
      <c r="BD95" s="30"/>
    </row>
    <row r="96" ht="15.75" customHeight="1">
      <c r="N96" s="30"/>
      <c r="AB96" s="30"/>
      <c r="AP96" s="30"/>
      <c r="BD96" s="30"/>
    </row>
    <row r="97" ht="15.75" customHeight="1">
      <c r="N97" s="30"/>
      <c r="AB97" s="30"/>
      <c r="AP97" s="30"/>
      <c r="BD97" s="30"/>
    </row>
    <row r="98" ht="15.75" customHeight="1">
      <c r="N98" s="30"/>
      <c r="AB98" s="30"/>
      <c r="AP98" s="30"/>
      <c r="BD98" s="30"/>
    </row>
    <row r="99" ht="15.75" customHeight="1">
      <c r="N99" s="30"/>
      <c r="AB99" s="30"/>
      <c r="AP99" s="30"/>
      <c r="BD99" s="30"/>
    </row>
    <row r="100" ht="15.75" customHeight="1">
      <c r="N100" s="30"/>
      <c r="AB100" s="30"/>
      <c r="AP100" s="30"/>
      <c r="BD100" s="30"/>
    </row>
    <row r="101" ht="15.75" customHeight="1">
      <c r="N101" s="30"/>
      <c r="AB101" s="30"/>
      <c r="AP101" s="30"/>
      <c r="BD101" s="30"/>
    </row>
    <row r="102" ht="15.75" customHeight="1">
      <c r="N102" s="30"/>
      <c r="AB102" s="30"/>
      <c r="AP102" s="30"/>
      <c r="BD102" s="30"/>
    </row>
    <row r="103" ht="15.75" customHeight="1">
      <c r="N103" s="30"/>
      <c r="AB103" s="30"/>
      <c r="AP103" s="30"/>
      <c r="BD103" s="30"/>
    </row>
    <row r="104" ht="15.75" customHeight="1">
      <c r="N104" s="30"/>
      <c r="AB104" s="30"/>
      <c r="AP104" s="30"/>
      <c r="BD104" s="30"/>
    </row>
    <row r="105" ht="15.75" customHeight="1">
      <c r="N105" s="30"/>
      <c r="AB105" s="30"/>
      <c r="AP105" s="30"/>
      <c r="BD105" s="30"/>
    </row>
    <row r="106" ht="15.75" customHeight="1">
      <c r="N106" s="30"/>
      <c r="AB106" s="30"/>
      <c r="AP106" s="30"/>
      <c r="BD106" s="30"/>
    </row>
    <row r="107" ht="15.75" customHeight="1">
      <c r="N107" s="30"/>
      <c r="AB107" s="30"/>
      <c r="AP107" s="30"/>
      <c r="BD107" s="30"/>
    </row>
    <row r="108" ht="15.75" customHeight="1">
      <c r="N108" s="30"/>
      <c r="AB108" s="30"/>
      <c r="AP108" s="30"/>
      <c r="BD108" s="30"/>
    </row>
    <row r="109" ht="15.75" customHeight="1">
      <c r="N109" s="30"/>
      <c r="AB109" s="30"/>
      <c r="AP109" s="30"/>
      <c r="BD109" s="30"/>
    </row>
    <row r="110" ht="15.75" customHeight="1">
      <c r="N110" s="30"/>
      <c r="AB110" s="30"/>
      <c r="AP110" s="30"/>
      <c r="BD110" s="30"/>
    </row>
    <row r="111" ht="15.75" customHeight="1">
      <c r="N111" s="30"/>
      <c r="AB111" s="30"/>
      <c r="AP111" s="30"/>
      <c r="BD111" s="30"/>
    </row>
    <row r="112" ht="15.75" customHeight="1">
      <c r="N112" s="30"/>
      <c r="AB112" s="30"/>
      <c r="AP112" s="30"/>
      <c r="BD112" s="30"/>
    </row>
    <row r="113" ht="15.75" customHeight="1">
      <c r="N113" s="30"/>
      <c r="AB113" s="30"/>
      <c r="AP113" s="30"/>
      <c r="BD113" s="30"/>
    </row>
    <row r="114" ht="15.75" customHeight="1">
      <c r="N114" s="30"/>
      <c r="AB114" s="30"/>
      <c r="AP114" s="30"/>
      <c r="BD114" s="30"/>
    </row>
    <row r="115" ht="15.75" customHeight="1">
      <c r="N115" s="30"/>
      <c r="AB115" s="30"/>
      <c r="AP115" s="30"/>
      <c r="BD115" s="30"/>
    </row>
    <row r="116" ht="15.75" customHeight="1">
      <c r="N116" s="30"/>
      <c r="AB116" s="30"/>
      <c r="AP116" s="30"/>
      <c r="BD116" s="30"/>
    </row>
    <row r="117" ht="15.75" customHeight="1">
      <c r="N117" s="30"/>
      <c r="AB117" s="30"/>
      <c r="AP117" s="30"/>
      <c r="BD117" s="30"/>
    </row>
    <row r="118" ht="15.75" customHeight="1">
      <c r="N118" s="30"/>
      <c r="AB118" s="30"/>
      <c r="AP118" s="30"/>
      <c r="BD118" s="30"/>
    </row>
    <row r="119" ht="15.75" customHeight="1">
      <c r="N119" s="30"/>
      <c r="AB119" s="30"/>
      <c r="AP119" s="30"/>
      <c r="BD119" s="30"/>
    </row>
    <row r="120" ht="15.75" customHeight="1">
      <c r="N120" s="30"/>
      <c r="AB120" s="30"/>
      <c r="AP120" s="30"/>
      <c r="BD120" s="30"/>
    </row>
    <row r="121" ht="15.75" customHeight="1">
      <c r="N121" s="30"/>
      <c r="AB121" s="30"/>
      <c r="AP121" s="30"/>
      <c r="BD121" s="30"/>
    </row>
    <row r="122" ht="15.75" customHeight="1">
      <c r="N122" s="30"/>
      <c r="AB122" s="30"/>
      <c r="AP122" s="30"/>
      <c r="BD122" s="30"/>
    </row>
    <row r="123" ht="15.75" customHeight="1">
      <c r="N123" s="30"/>
      <c r="AB123" s="30"/>
      <c r="AP123" s="30"/>
      <c r="BD123" s="30"/>
    </row>
    <row r="124" ht="15.75" customHeight="1">
      <c r="N124" s="30"/>
      <c r="AB124" s="30"/>
      <c r="AP124" s="30"/>
      <c r="BD124" s="30"/>
    </row>
    <row r="125" ht="15.75" customHeight="1">
      <c r="N125" s="30"/>
      <c r="AB125" s="30"/>
      <c r="AP125" s="30"/>
      <c r="BD125" s="30"/>
    </row>
    <row r="126" ht="15.75" customHeight="1">
      <c r="N126" s="30"/>
      <c r="AB126" s="30"/>
      <c r="AP126" s="30"/>
      <c r="BD126" s="30"/>
    </row>
    <row r="127" ht="15.75" customHeight="1">
      <c r="N127" s="30"/>
      <c r="AB127" s="30"/>
      <c r="AP127" s="30"/>
      <c r="BD127" s="30"/>
    </row>
    <row r="128" ht="15.75" customHeight="1">
      <c r="N128" s="30"/>
      <c r="AB128" s="30"/>
      <c r="AP128" s="30"/>
      <c r="BD128" s="30"/>
    </row>
    <row r="129" ht="15.75" customHeight="1">
      <c r="N129" s="30"/>
      <c r="AB129" s="30"/>
      <c r="AP129" s="30"/>
      <c r="BD129" s="30"/>
    </row>
    <row r="130" ht="15.75" customHeight="1">
      <c r="N130" s="30"/>
      <c r="AB130" s="30"/>
      <c r="AP130" s="30"/>
      <c r="BD130" s="30"/>
    </row>
    <row r="131" ht="15.75" customHeight="1">
      <c r="N131" s="30"/>
      <c r="AB131" s="30"/>
      <c r="AP131" s="30"/>
      <c r="BD131" s="30"/>
    </row>
    <row r="132" ht="15.75" customHeight="1">
      <c r="N132" s="30"/>
      <c r="AB132" s="30"/>
      <c r="AP132" s="30"/>
      <c r="BD132" s="30"/>
    </row>
    <row r="133" ht="15.75" customHeight="1">
      <c r="N133" s="30"/>
      <c r="AB133" s="30"/>
      <c r="AP133" s="30"/>
      <c r="BD133" s="30"/>
    </row>
    <row r="134" ht="15.75" customHeight="1">
      <c r="N134" s="30"/>
      <c r="AB134" s="30"/>
      <c r="AP134" s="30"/>
      <c r="BD134" s="30"/>
    </row>
    <row r="135" ht="15.75" customHeight="1">
      <c r="N135" s="30"/>
      <c r="AB135" s="30"/>
      <c r="AP135" s="30"/>
      <c r="BD135" s="30"/>
    </row>
    <row r="136" ht="15.75" customHeight="1">
      <c r="N136" s="30"/>
      <c r="AB136" s="30"/>
      <c r="AP136" s="30"/>
      <c r="BD136" s="30"/>
    </row>
    <row r="137" ht="15.75" customHeight="1">
      <c r="N137" s="30"/>
      <c r="AB137" s="30"/>
      <c r="AP137" s="30"/>
      <c r="BD137" s="30"/>
    </row>
    <row r="138" ht="15.75" customHeight="1">
      <c r="N138" s="30"/>
      <c r="AB138" s="30"/>
      <c r="AP138" s="30"/>
      <c r="BD138" s="30"/>
    </row>
    <row r="139" ht="15.75" customHeight="1">
      <c r="N139" s="30"/>
      <c r="AB139" s="30"/>
      <c r="AP139" s="30"/>
      <c r="BD139" s="30"/>
    </row>
    <row r="140" ht="15.75" customHeight="1">
      <c r="N140" s="30"/>
      <c r="AB140" s="30"/>
      <c r="AP140" s="30"/>
      <c r="BD140" s="30"/>
    </row>
    <row r="141" ht="15.75" customHeight="1">
      <c r="N141" s="30"/>
      <c r="AB141" s="30"/>
      <c r="AP141" s="30"/>
      <c r="BD141" s="30"/>
    </row>
    <row r="142" ht="15.75" customHeight="1">
      <c r="N142" s="30"/>
      <c r="AB142" s="30"/>
      <c r="AP142" s="30"/>
      <c r="BD142" s="30"/>
    </row>
    <row r="143" ht="15.75" customHeight="1">
      <c r="N143" s="30"/>
      <c r="AB143" s="30"/>
      <c r="AP143" s="30"/>
      <c r="BD143" s="30"/>
    </row>
    <row r="144" ht="15.75" customHeight="1">
      <c r="N144" s="30"/>
      <c r="AB144" s="30"/>
      <c r="AP144" s="30"/>
      <c r="BD144" s="30"/>
    </row>
    <row r="145" ht="15.75" customHeight="1">
      <c r="N145" s="30"/>
      <c r="AB145" s="30"/>
      <c r="AP145" s="30"/>
      <c r="BD145" s="30"/>
    </row>
    <row r="146" ht="15.75" customHeight="1">
      <c r="N146" s="30"/>
      <c r="AB146" s="30"/>
      <c r="AP146" s="30"/>
      <c r="BD146" s="30"/>
    </row>
    <row r="147" ht="15.75" customHeight="1">
      <c r="N147" s="30"/>
      <c r="AB147" s="30"/>
      <c r="AP147" s="30"/>
      <c r="BD147" s="30"/>
    </row>
    <row r="148" ht="15.75" customHeight="1">
      <c r="N148" s="30"/>
      <c r="AB148" s="30"/>
      <c r="AP148" s="30"/>
      <c r="BD148" s="30"/>
    </row>
    <row r="149" ht="15.75" customHeight="1">
      <c r="N149" s="30"/>
      <c r="AB149" s="30"/>
      <c r="AP149" s="30"/>
      <c r="BD149" s="30"/>
    </row>
    <row r="150" ht="15.75" customHeight="1">
      <c r="N150" s="30"/>
      <c r="AB150" s="30"/>
      <c r="AP150" s="30"/>
      <c r="BD150" s="30"/>
    </row>
    <row r="151" ht="15.75" customHeight="1">
      <c r="N151" s="30"/>
      <c r="AB151" s="30"/>
      <c r="AP151" s="30"/>
      <c r="BD151" s="30"/>
    </row>
    <row r="152" ht="15.75" customHeight="1">
      <c r="N152" s="30"/>
      <c r="AB152" s="30"/>
      <c r="AP152" s="30"/>
      <c r="BD152" s="30"/>
    </row>
    <row r="153" ht="15.75" customHeight="1">
      <c r="N153" s="30"/>
      <c r="AB153" s="30"/>
      <c r="AP153" s="30"/>
      <c r="BD153" s="30"/>
    </row>
    <row r="154" ht="15.75" customHeight="1">
      <c r="N154" s="30"/>
      <c r="AB154" s="30"/>
      <c r="AP154" s="30"/>
      <c r="BD154" s="30"/>
    </row>
    <row r="155" ht="15.75" customHeight="1">
      <c r="N155" s="30"/>
      <c r="AB155" s="30"/>
      <c r="AP155" s="30"/>
      <c r="BD155" s="30"/>
    </row>
    <row r="156" ht="15.75" customHeight="1">
      <c r="N156" s="30"/>
      <c r="AB156" s="30"/>
      <c r="AP156" s="30"/>
      <c r="BD156" s="30"/>
    </row>
    <row r="157" ht="15.75" customHeight="1">
      <c r="N157" s="30"/>
      <c r="AB157" s="30"/>
      <c r="AP157" s="30"/>
      <c r="BD157" s="30"/>
    </row>
    <row r="158" ht="15.75" customHeight="1">
      <c r="N158" s="30"/>
      <c r="AB158" s="30"/>
      <c r="AP158" s="30"/>
      <c r="BD158" s="30"/>
    </row>
    <row r="159" ht="15.75" customHeight="1">
      <c r="N159" s="30"/>
      <c r="AB159" s="30"/>
      <c r="AP159" s="30"/>
      <c r="BD159" s="30"/>
    </row>
    <row r="160" ht="15.75" customHeight="1">
      <c r="N160" s="30"/>
      <c r="AB160" s="30"/>
      <c r="AP160" s="30"/>
      <c r="BD160" s="30"/>
    </row>
    <row r="161" ht="15.75" customHeight="1">
      <c r="N161" s="30"/>
      <c r="AB161" s="30"/>
      <c r="AP161" s="30"/>
      <c r="BD161" s="30"/>
    </row>
    <row r="162" ht="15.75" customHeight="1">
      <c r="N162" s="30"/>
      <c r="AB162" s="30"/>
      <c r="AP162" s="30"/>
      <c r="BD162" s="30"/>
    </row>
    <row r="163" ht="15.75" customHeight="1">
      <c r="N163" s="30"/>
      <c r="AB163" s="30"/>
      <c r="AP163" s="30"/>
      <c r="BD163" s="30"/>
    </row>
    <row r="164" ht="15.75" customHeight="1">
      <c r="N164" s="30"/>
      <c r="AB164" s="30"/>
      <c r="AP164" s="30"/>
      <c r="BD164" s="30"/>
    </row>
    <row r="165" ht="15.75" customHeight="1">
      <c r="N165" s="30"/>
      <c r="AB165" s="30"/>
      <c r="AP165" s="30"/>
      <c r="BD165" s="30"/>
    </row>
    <row r="166" ht="15.75" customHeight="1">
      <c r="N166" s="30"/>
      <c r="AB166" s="30"/>
      <c r="AP166" s="30"/>
      <c r="BD166" s="30"/>
    </row>
    <row r="167" ht="15.75" customHeight="1">
      <c r="N167" s="30"/>
      <c r="AB167" s="30"/>
      <c r="AP167" s="30"/>
      <c r="BD167" s="30"/>
    </row>
    <row r="168" ht="15.75" customHeight="1">
      <c r="N168" s="30"/>
      <c r="AB168" s="30"/>
      <c r="AP168" s="30"/>
      <c r="BD168" s="30"/>
    </row>
    <row r="169" ht="15.75" customHeight="1">
      <c r="N169" s="30"/>
      <c r="AB169" s="30"/>
      <c r="AP169" s="30"/>
      <c r="BD169" s="30"/>
    </row>
    <row r="170" ht="15.75" customHeight="1">
      <c r="N170" s="30"/>
      <c r="AB170" s="30"/>
      <c r="AP170" s="30"/>
      <c r="BD170" s="30"/>
    </row>
    <row r="171" ht="15.75" customHeight="1">
      <c r="N171" s="30"/>
      <c r="AB171" s="30"/>
      <c r="AP171" s="30"/>
      <c r="BD171" s="30"/>
    </row>
    <row r="172" ht="15.75" customHeight="1">
      <c r="N172" s="30"/>
      <c r="AB172" s="30"/>
      <c r="AP172" s="30"/>
      <c r="BD172" s="30"/>
    </row>
    <row r="173" ht="15.75" customHeight="1">
      <c r="N173" s="30"/>
      <c r="AB173" s="30"/>
      <c r="AP173" s="30"/>
      <c r="BD173" s="30"/>
    </row>
    <row r="174" ht="15.75" customHeight="1">
      <c r="N174" s="30"/>
      <c r="AB174" s="30"/>
      <c r="AP174" s="30"/>
      <c r="BD174" s="30"/>
    </row>
    <row r="175" ht="15.75" customHeight="1">
      <c r="N175" s="30"/>
      <c r="AB175" s="30"/>
      <c r="AP175" s="30"/>
      <c r="BD175" s="30"/>
    </row>
    <row r="176" ht="15.75" customHeight="1">
      <c r="N176" s="30"/>
      <c r="AB176" s="30"/>
      <c r="AP176" s="30"/>
      <c r="BD176" s="30"/>
    </row>
    <row r="177" ht="15.75" customHeight="1">
      <c r="N177" s="30"/>
      <c r="AB177" s="30"/>
      <c r="AP177" s="30"/>
      <c r="BD177" s="30"/>
    </row>
    <row r="178" ht="15.75" customHeight="1">
      <c r="N178" s="30"/>
      <c r="AB178" s="30"/>
      <c r="AP178" s="30"/>
      <c r="BD178" s="30"/>
    </row>
    <row r="179" ht="15.75" customHeight="1">
      <c r="N179" s="30"/>
      <c r="AB179" s="30"/>
      <c r="AP179" s="30"/>
      <c r="BD179" s="30"/>
    </row>
    <row r="180" ht="15.75" customHeight="1">
      <c r="N180" s="30"/>
      <c r="AB180" s="30"/>
      <c r="AP180" s="30"/>
      <c r="BD180" s="30"/>
    </row>
    <row r="181" ht="15.75" customHeight="1">
      <c r="N181" s="30"/>
      <c r="AB181" s="30"/>
      <c r="AP181" s="30"/>
      <c r="BD181" s="30"/>
    </row>
    <row r="182" ht="15.75" customHeight="1">
      <c r="N182" s="30"/>
      <c r="AB182" s="30"/>
      <c r="AP182" s="30"/>
      <c r="BD182" s="30"/>
    </row>
    <row r="183" ht="15.75" customHeight="1">
      <c r="N183" s="30"/>
      <c r="AB183" s="30"/>
      <c r="AP183" s="30"/>
      <c r="BD183" s="30"/>
    </row>
    <row r="184" ht="15.75" customHeight="1">
      <c r="N184" s="30"/>
      <c r="AB184" s="30"/>
      <c r="AP184" s="30"/>
      <c r="BD184" s="30"/>
    </row>
    <row r="185" ht="15.75" customHeight="1">
      <c r="N185" s="30"/>
      <c r="AB185" s="30"/>
      <c r="AP185" s="30"/>
      <c r="BD185" s="30"/>
    </row>
    <row r="186" ht="15.75" customHeight="1">
      <c r="N186" s="30"/>
      <c r="AB186" s="30"/>
      <c r="AP186" s="30"/>
      <c r="BD186" s="30"/>
    </row>
    <row r="187" ht="15.75" customHeight="1">
      <c r="N187" s="30"/>
      <c r="AB187" s="30"/>
      <c r="AP187" s="30"/>
      <c r="BD187" s="30"/>
    </row>
    <row r="188" ht="15.75" customHeight="1">
      <c r="N188" s="30"/>
      <c r="AB188" s="30"/>
      <c r="AP188" s="30"/>
      <c r="BD188" s="30"/>
    </row>
    <row r="189" ht="15.75" customHeight="1">
      <c r="N189" s="30"/>
      <c r="AB189" s="30"/>
      <c r="AP189" s="30"/>
      <c r="BD189" s="30"/>
    </row>
    <row r="190" ht="15.75" customHeight="1">
      <c r="N190" s="30"/>
      <c r="AB190" s="30"/>
      <c r="AP190" s="30"/>
      <c r="BD190" s="30"/>
    </row>
    <row r="191" ht="15.75" customHeight="1">
      <c r="N191" s="30"/>
      <c r="AB191" s="30"/>
      <c r="AP191" s="30"/>
      <c r="BD191" s="30"/>
    </row>
    <row r="192" ht="15.75" customHeight="1">
      <c r="N192" s="30"/>
      <c r="AB192" s="30"/>
      <c r="AP192" s="30"/>
      <c r="BD192" s="30"/>
    </row>
    <row r="193" ht="15.75" customHeight="1">
      <c r="N193" s="30"/>
      <c r="AB193" s="30"/>
      <c r="AP193" s="30"/>
      <c r="BD193" s="30"/>
    </row>
    <row r="194" ht="15.75" customHeight="1">
      <c r="N194" s="30"/>
      <c r="AB194" s="30"/>
      <c r="AP194" s="30"/>
      <c r="BD194" s="30"/>
    </row>
    <row r="195" ht="15.75" customHeight="1">
      <c r="N195" s="30"/>
      <c r="AB195" s="30"/>
      <c r="AP195" s="30"/>
      <c r="BD195" s="30"/>
    </row>
    <row r="196" ht="15.75" customHeight="1">
      <c r="N196" s="30"/>
      <c r="AB196" s="30"/>
      <c r="AP196" s="30"/>
      <c r="BD196" s="30"/>
    </row>
    <row r="197" ht="15.75" customHeight="1">
      <c r="N197" s="30"/>
      <c r="AB197" s="30"/>
      <c r="AP197" s="30"/>
      <c r="BD197" s="30"/>
    </row>
    <row r="198" ht="15.75" customHeight="1">
      <c r="N198" s="30"/>
      <c r="AB198" s="30"/>
      <c r="AP198" s="30"/>
      <c r="BD198" s="30"/>
    </row>
    <row r="199" ht="15.75" customHeight="1">
      <c r="N199" s="30"/>
      <c r="AB199" s="30"/>
      <c r="AP199" s="30"/>
      <c r="BD199" s="30"/>
    </row>
    <row r="200" ht="15.75" customHeight="1">
      <c r="N200" s="30"/>
      <c r="AB200" s="30"/>
      <c r="AP200" s="30"/>
      <c r="BD200" s="30"/>
    </row>
    <row r="201" ht="15.75" customHeight="1">
      <c r="N201" s="30"/>
      <c r="AB201" s="30"/>
      <c r="AP201" s="30"/>
      <c r="BD201" s="30"/>
    </row>
    <row r="202" ht="15.75" customHeight="1">
      <c r="N202" s="30"/>
      <c r="AB202" s="30"/>
      <c r="AP202" s="30"/>
      <c r="BD202" s="30"/>
    </row>
    <row r="203" ht="15.75" customHeight="1">
      <c r="N203" s="30"/>
      <c r="AB203" s="30"/>
      <c r="AP203" s="30"/>
      <c r="BD203" s="30"/>
    </row>
    <row r="204" ht="15.75" customHeight="1">
      <c r="N204" s="30"/>
      <c r="AB204" s="30"/>
      <c r="AP204" s="30"/>
      <c r="BD204" s="30"/>
    </row>
    <row r="205" ht="15.75" customHeight="1">
      <c r="N205" s="30"/>
      <c r="AB205" s="30"/>
      <c r="AP205" s="30"/>
      <c r="BD205" s="30"/>
    </row>
    <row r="206" ht="15.75" customHeight="1">
      <c r="N206" s="30"/>
      <c r="AB206" s="30"/>
      <c r="AP206" s="30"/>
      <c r="BD206" s="30"/>
    </row>
    <row r="207" ht="15.75" customHeight="1">
      <c r="N207" s="30"/>
      <c r="AB207" s="30"/>
      <c r="AP207" s="30"/>
      <c r="BD207" s="30"/>
    </row>
    <row r="208" ht="15.75" customHeight="1">
      <c r="N208" s="30"/>
      <c r="AB208" s="30"/>
      <c r="AP208" s="30"/>
      <c r="BD208" s="30"/>
    </row>
    <row r="209" ht="15.75" customHeight="1">
      <c r="N209" s="30"/>
      <c r="AB209" s="30"/>
      <c r="AP209" s="30"/>
      <c r="BD209" s="30"/>
    </row>
    <row r="210" ht="15.75" customHeight="1">
      <c r="N210" s="30"/>
      <c r="AB210" s="30"/>
      <c r="AP210" s="30"/>
      <c r="BD210" s="30"/>
    </row>
    <row r="211" ht="15.75" customHeight="1">
      <c r="N211" s="30"/>
      <c r="AB211" s="30"/>
      <c r="AP211" s="30"/>
      <c r="BD211" s="30"/>
    </row>
    <row r="212" ht="15.75" customHeight="1">
      <c r="N212" s="30"/>
      <c r="AB212" s="30"/>
      <c r="AP212" s="30"/>
      <c r="BD212" s="30"/>
    </row>
    <row r="213" ht="15.75" customHeight="1">
      <c r="N213" s="30"/>
      <c r="AB213" s="30"/>
      <c r="AP213" s="30"/>
      <c r="BD213" s="30"/>
    </row>
    <row r="214" ht="15.75" customHeight="1">
      <c r="N214" s="30"/>
      <c r="AB214" s="30"/>
      <c r="AP214" s="30"/>
      <c r="BD214" s="30"/>
    </row>
    <row r="215" ht="15.75" customHeight="1">
      <c r="N215" s="30"/>
      <c r="AB215" s="30"/>
      <c r="AP215" s="30"/>
      <c r="BD215" s="30"/>
    </row>
    <row r="216" ht="15.75" customHeight="1">
      <c r="N216" s="30"/>
      <c r="AB216" s="30"/>
      <c r="AP216" s="30"/>
      <c r="BD216" s="30"/>
    </row>
    <row r="217" ht="15.75" customHeight="1">
      <c r="N217" s="30"/>
      <c r="AB217" s="30"/>
      <c r="AP217" s="30"/>
      <c r="BD217" s="30"/>
    </row>
    <row r="218" ht="15.75" customHeight="1">
      <c r="N218" s="30"/>
      <c r="AB218" s="30"/>
      <c r="AP218" s="30"/>
      <c r="BD218" s="30"/>
    </row>
    <row r="219" ht="15.75" customHeight="1">
      <c r="N219" s="30"/>
      <c r="AB219" s="30"/>
      <c r="AP219" s="30"/>
      <c r="BD219" s="30"/>
    </row>
    <row r="220" ht="15.75" customHeight="1">
      <c r="N220" s="30"/>
      <c r="AB220" s="30"/>
      <c r="AP220" s="30"/>
      <c r="BD220" s="30"/>
    </row>
    <row r="221" ht="15.75" customHeight="1">
      <c r="N221" s="30"/>
      <c r="AB221" s="30"/>
      <c r="AP221" s="30"/>
      <c r="BD221" s="30"/>
    </row>
    <row r="222" ht="15.75" customHeight="1">
      <c r="N222" s="30"/>
      <c r="AB222" s="30"/>
      <c r="AP222" s="30"/>
      <c r="BD222" s="30"/>
    </row>
    <row r="223" ht="15.75" customHeight="1">
      <c r="N223" s="30"/>
      <c r="AB223" s="30"/>
      <c r="AP223" s="30"/>
      <c r="BD223" s="30"/>
    </row>
    <row r="224" ht="15.75" customHeight="1">
      <c r="N224" s="30"/>
      <c r="AB224" s="30"/>
      <c r="AP224" s="30"/>
      <c r="BD224" s="30"/>
    </row>
    <row r="225" ht="15.75" customHeight="1">
      <c r="N225" s="30"/>
      <c r="AB225" s="30"/>
      <c r="AP225" s="30"/>
      <c r="BD225" s="30"/>
    </row>
    <row r="226" ht="15.75" customHeight="1">
      <c r="N226" s="30"/>
      <c r="AB226" s="30"/>
      <c r="AP226" s="30"/>
      <c r="BD226" s="30"/>
    </row>
    <row r="227" ht="15.75" customHeight="1">
      <c r="N227" s="30"/>
      <c r="AB227" s="30"/>
      <c r="AP227" s="30"/>
      <c r="BD227" s="30"/>
    </row>
    <row r="228" ht="15.75" customHeight="1">
      <c r="N228" s="30"/>
      <c r="AB228" s="30"/>
      <c r="AP228" s="30"/>
      <c r="BD228" s="30"/>
    </row>
    <row r="229" ht="15.75" customHeight="1">
      <c r="N229" s="30"/>
      <c r="AB229" s="30"/>
      <c r="AP229" s="30"/>
      <c r="BD229" s="30"/>
    </row>
    <row r="230" ht="15.75" customHeight="1">
      <c r="N230" s="30"/>
      <c r="AB230" s="30"/>
      <c r="AP230" s="30"/>
      <c r="BD230" s="30"/>
    </row>
    <row r="231" ht="15.75" customHeight="1">
      <c r="N231" s="30"/>
      <c r="AB231" s="30"/>
      <c r="AP231" s="30"/>
      <c r="BD231" s="30"/>
    </row>
    <row r="232" ht="15.75" customHeight="1">
      <c r="N232" s="30"/>
      <c r="AB232" s="30"/>
      <c r="AP232" s="30"/>
      <c r="BD232" s="30"/>
    </row>
    <row r="233" ht="15.75" customHeight="1">
      <c r="N233" s="30"/>
      <c r="AB233" s="30"/>
      <c r="AP233" s="30"/>
      <c r="BD233" s="30"/>
    </row>
    <row r="234" ht="15.75" customHeight="1">
      <c r="N234" s="30"/>
      <c r="AB234" s="30"/>
      <c r="AP234" s="30"/>
      <c r="BD234" s="30"/>
    </row>
    <row r="235" ht="15.75" customHeight="1">
      <c r="N235" s="30"/>
      <c r="AB235" s="30"/>
      <c r="AP235" s="30"/>
      <c r="BD235" s="30"/>
    </row>
    <row r="236" ht="15.75" customHeight="1">
      <c r="N236" s="30"/>
      <c r="AB236" s="30"/>
      <c r="AP236" s="30"/>
      <c r="BD236" s="30"/>
    </row>
    <row r="237" ht="15.75" customHeight="1">
      <c r="N237" s="30"/>
      <c r="AB237" s="30"/>
      <c r="AP237" s="30"/>
      <c r="BD237" s="30"/>
    </row>
    <row r="238" ht="15.75" customHeight="1">
      <c r="N238" s="30"/>
      <c r="AB238" s="30"/>
      <c r="AP238" s="30"/>
      <c r="BD238" s="30"/>
    </row>
    <row r="239" ht="15.75" customHeight="1">
      <c r="N239" s="30"/>
      <c r="AB239" s="30"/>
      <c r="AP239" s="30"/>
      <c r="BD239" s="30"/>
    </row>
    <row r="240" ht="15.75" customHeight="1">
      <c r="N240" s="30"/>
      <c r="AB240" s="30"/>
      <c r="AP240" s="30"/>
      <c r="BD240" s="30"/>
    </row>
    <row r="241" ht="15.75" customHeight="1">
      <c r="N241" s="30"/>
      <c r="AB241" s="30"/>
      <c r="AP241" s="30"/>
      <c r="BD241" s="30"/>
    </row>
    <row r="242" ht="15.75" customHeight="1">
      <c r="N242" s="30"/>
      <c r="AB242" s="30"/>
      <c r="AP242" s="30"/>
      <c r="BD242" s="30"/>
    </row>
    <row r="243" ht="15.75" customHeight="1">
      <c r="N243" s="30"/>
      <c r="AB243" s="30"/>
      <c r="AP243" s="30"/>
      <c r="BD243" s="30"/>
    </row>
    <row r="244" ht="15.75" customHeight="1">
      <c r="N244" s="30"/>
      <c r="AB244" s="30"/>
      <c r="AP244" s="30"/>
      <c r="BD244" s="30"/>
    </row>
    <row r="245" ht="15.75" customHeight="1">
      <c r="N245" s="30"/>
      <c r="AB245" s="30"/>
      <c r="AP245" s="30"/>
      <c r="BD245" s="30"/>
    </row>
    <row r="246" ht="15.75" customHeight="1">
      <c r="N246" s="30"/>
      <c r="AB246" s="30"/>
      <c r="AP246" s="30"/>
      <c r="BD246" s="30"/>
    </row>
    <row r="247" ht="15.75" customHeight="1">
      <c r="N247" s="30"/>
      <c r="AB247" s="30"/>
      <c r="AP247" s="30"/>
      <c r="BD247" s="30"/>
    </row>
    <row r="248" ht="15.75" customHeight="1">
      <c r="N248" s="30"/>
      <c r="AB248" s="30"/>
      <c r="AP248" s="30"/>
      <c r="BD248" s="30"/>
    </row>
    <row r="249" ht="15.75" customHeight="1">
      <c r="N249" s="30"/>
      <c r="AB249" s="30"/>
      <c r="AP249" s="30"/>
      <c r="BD249" s="30"/>
    </row>
    <row r="250" ht="15.75" customHeight="1">
      <c r="N250" s="30"/>
      <c r="AB250" s="30"/>
      <c r="AP250" s="30"/>
      <c r="BD250" s="30"/>
    </row>
    <row r="251" ht="15.75" customHeight="1">
      <c r="N251" s="30"/>
      <c r="AB251" s="30"/>
      <c r="AP251" s="30"/>
      <c r="BD251" s="30"/>
    </row>
    <row r="252" ht="15.75" customHeight="1">
      <c r="N252" s="30"/>
      <c r="AB252" s="30"/>
      <c r="AP252" s="30"/>
      <c r="BD252" s="30"/>
    </row>
    <row r="253" ht="15.75" customHeight="1">
      <c r="N253" s="30"/>
      <c r="AB253" s="30"/>
      <c r="AP253" s="30"/>
      <c r="BD253" s="30"/>
    </row>
    <row r="254" ht="15.75" customHeight="1">
      <c r="N254" s="30"/>
      <c r="AB254" s="30"/>
      <c r="AP254" s="30"/>
      <c r="BD254" s="30"/>
    </row>
    <row r="255" ht="15.75" customHeight="1">
      <c r="N255" s="30"/>
      <c r="AB255" s="30"/>
      <c r="AP255" s="30"/>
      <c r="BD255" s="30"/>
    </row>
    <row r="256" ht="15.75" customHeight="1">
      <c r="N256" s="30"/>
      <c r="AB256" s="30"/>
      <c r="AP256" s="30"/>
      <c r="BD256" s="30"/>
    </row>
    <row r="257" ht="15.75" customHeight="1">
      <c r="N257" s="30"/>
      <c r="AB257" s="30"/>
      <c r="AP257" s="30"/>
      <c r="BD257" s="30"/>
    </row>
    <row r="258" ht="15.75" customHeight="1">
      <c r="N258" s="30"/>
      <c r="AB258" s="30"/>
      <c r="AP258" s="30"/>
      <c r="BD258" s="30"/>
    </row>
    <row r="259" ht="15.75" customHeight="1">
      <c r="N259" s="30"/>
      <c r="AB259" s="30"/>
      <c r="AP259" s="30"/>
      <c r="BD259" s="30"/>
    </row>
    <row r="260" ht="15.75" customHeight="1">
      <c r="N260" s="30"/>
      <c r="AB260" s="30"/>
      <c r="AP260" s="30"/>
      <c r="BD260" s="30"/>
    </row>
    <row r="261" ht="15.75" customHeight="1">
      <c r="N261" s="30"/>
      <c r="AB261" s="30"/>
      <c r="AP261" s="30"/>
      <c r="BD261" s="30"/>
    </row>
    <row r="262" ht="15.75" customHeight="1">
      <c r="N262" s="30"/>
      <c r="AB262" s="30"/>
      <c r="AP262" s="30"/>
      <c r="BD262" s="30"/>
    </row>
    <row r="263" ht="15.75" customHeight="1">
      <c r="N263" s="30"/>
      <c r="AB263" s="30"/>
      <c r="AP263" s="30"/>
      <c r="BD263" s="30"/>
    </row>
    <row r="264" ht="15.75" customHeight="1">
      <c r="N264" s="30"/>
      <c r="AB264" s="30"/>
      <c r="AP264" s="30"/>
      <c r="BD264" s="30"/>
    </row>
    <row r="265" ht="15.75" customHeight="1">
      <c r="N265" s="30"/>
      <c r="AB265" s="30"/>
      <c r="AP265" s="30"/>
      <c r="BD265" s="30"/>
    </row>
    <row r="266" ht="15.75" customHeight="1">
      <c r="N266" s="30"/>
      <c r="AB266" s="30"/>
      <c r="AP266" s="30"/>
      <c r="BD266" s="30"/>
    </row>
    <row r="267" ht="15.75" customHeight="1">
      <c r="N267" s="30"/>
      <c r="AB267" s="30"/>
      <c r="AP267" s="30"/>
      <c r="BD267" s="30"/>
    </row>
    <row r="268" ht="15.75" customHeight="1">
      <c r="N268" s="30"/>
      <c r="AB268" s="30"/>
      <c r="AP268" s="30"/>
      <c r="BD268" s="30"/>
    </row>
    <row r="269" ht="15.75" customHeight="1">
      <c r="N269" s="30"/>
      <c r="AB269" s="30"/>
      <c r="AP269" s="30"/>
      <c r="BD269" s="30"/>
    </row>
    <row r="270" ht="15.75" customHeight="1">
      <c r="N270" s="30"/>
      <c r="AB270" s="30"/>
      <c r="AP270" s="30"/>
      <c r="BD270" s="30"/>
    </row>
    <row r="271" ht="15.75" customHeight="1">
      <c r="N271" s="30"/>
      <c r="AB271" s="30"/>
      <c r="AP271" s="30"/>
      <c r="BD271" s="30"/>
    </row>
    <row r="272" ht="15.75" customHeight="1">
      <c r="N272" s="30"/>
      <c r="AB272" s="30"/>
      <c r="AP272" s="30"/>
      <c r="BD272" s="30"/>
    </row>
    <row r="273" ht="15.75" customHeight="1">
      <c r="N273" s="30"/>
      <c r="AB273" s="30"/>
      <c r="AP273" s="30"/>
      <c r="BD273" s="30"/>
    </row>
    <row r="274" ht="15.75" customHeight="1">
      <c r="N274" s="30"/>
      <c r="AB274" s="30"/>
      <c r="AP274" s="30"/>
      <c r="BD274" s="30"/>
    </row>
    <row r="275" ht="15.75" customHeight="1">
      <c r="N275" s="30"/>
      <c r="AB275" s="30"/>
      <c r="AP275" s="30"/>
      <c r="BD275" s="30"/>
    </row>
    <row r="276" ht="15.75" customHeight="1">
      <c r="N276" s="30"/>
      <c r="AB276" s="30"/>
      <c r="AP276" s="30"/>
      <c r="BD276" s="30"/>
    </row>
    <row r="277" ht="15.75" customHeight="1">
      <c r="N277" s="30"/>
      <c r="AB277" s="30"/>
      <c r="AP277" s="30"/>
      <c r="BD277" s="30"/>
    </row>
    <row r="278" ht="15.75" customHeight="1">
      <c r="N278" s="30"/>
      <c r="AB278" s="30"/>
      <c r="AP278" s="30"/>
      <c r="BD278" s="30"/>
    </row>
    <row r="279" ht="15.75" customHeight="1">
      <c r="N279" s="30"/>
      <c r="AB279" s="30"/>
      <c r="AP279" s="30"/>
      <c r="BD279" s="30"/>
    </row>
    <row r="280" ht="15.75" customHeight="1">
      <c r="N280" s="30"/>
      <c r="AB280" s="30"/>
      <c r="AP280" s="30"/>
      <c r="BD280" s="30"/>
    </row>
    <row r="281" ht="15.75" customHeight="1">
      <c r="N281" s="30"/>
      <c r="AB281" s="30"/>
      <c r="AP281" s="30"/>
      <c r="BD281" s="30"/>
    </row>
    <row r="282" ht="15.75" customHeight="1">
      <c r="N282" s="30"/>
      <c r="AB282" s="30"/>
      <c r="AP282" s="30"/>
      <c r="BD282" s="30"/>
    </row>
    <row r="283" ht="15.75" customHeight="1">
      <c r="N283" s="30"/>
      <c r="AB283" s="30"/>
      <c r="AP283" s="30"/>
      <c r="BD283" s="30"/>
    </row>
    <row r="284" ht="15.75" customHeight="1">
      <c r="N284" s="30"/>
      <c r="AB284" s="30"/>
      <c r="AP284" s="30"/>
      <c r="BD284" s="30"/>
    </row>
    <row r="285" ht="15.75" customHeight="1">
      <c r="N285" s="30"/>
      <c r="AB285" s="30"/>
      <c r="AP285" s="30"/>
      <c r="BD285" s="30"/>
    </row>
    <row r="286" ht="15.75" customHeight="1">
      <c r="N286" s="30"/>
      <c r="AB286" s="30"/>
      <c r="AP286" s="30"/>
      <c r="BD286" s="30"/>
    </row>
    <row r="287" ht="15.75" customHeight="1">
      <c r="N287" s="30"/>
      <c r="AB287" s="30"/>
      <c r="AP287" s="30"/>
      <c r="BD287" s="30"/>
    </row>
    <row r="288" ht="15.75" customHeight="1">
      <c r="N288" s="30"/>
      <c r="AB288" s="30"/>
      <c r="AP288" s="30"/>
      <c r="BD288" s="30"/>
    </row>
    <row r="289" ht="15.75" customHeight="1">
      <c r="N289" s="30"/>
      <c r="AB289" s="30"/>
      <c r="AP289" s="30"/>
      <c r="BD289" s="30"/>
    </row>
    <row r="290" ht="15.75" customHeight="1">
      <c r="N290" s="30"/>
      <c r="AB290" s="30"/>
      <c r="AP290" s="30"/>
      <c r="BD290" s="30"/>
    </row>
    <row r="291" ht="15.75" customHeight="1">
      <c r="N291" s="30"/>
      <c r="AB291" s="30"/>
      <c r="AP291" s="30"/>
      <c r="BD291" s="30"/>
    </row>
    <row r="292" ht="15.75" customHeight="1">
      <c r="N292" s="30"/>
      <c r="AB292" s="30"/>
      <c r="AP292" s="30"/>
      <c r="BD292" s="30"/>
    </row>
    <row r="293" ht="15.75" customHeight="1">
      <c r="N293" s="30"/>
      <c r="AB293" s="30"/>
      <c r="AP293" s="30"/>
      <c r="BD293" s="30"/>
    </row>
    <row r="294" ht="15.75" customHeight="1">
      <c r="N294" s="30"/>
      <c r="AB294" s="30"/>
      <c r="AP294" s="30"/>
      <c r="BD294" s="30"/>
    </row>
    <row r="295" ht="15.75" customHeight="1">
      <c r="N295" s="30"/>
      <c r="AB295" s="30"/>
      <c r="AP295" s="30"/>
      <c r="BD295" s="30"/>
    </row>
    <row r="296" ht="15.75" customHeight="1">
      <c r="N296" s="30"/>
      <c r="AB296" s="30"/>
      <c r="AP296" s="30"/>
      <c r="BD296" s="30"/>
    </row>
    <row r="297" ht="15.75" customHeight="1">
      <c r="N297" s="30"/>
      <c r="AB297" s="30"/>
      <c r="AP297" s="30"/>
      <c r="BD297" s="30"/>
    </row>
    <row r="298" ht="15.75" customHeight="1">
      <c r="N298" s="30"/>
      <c r="AB298" s="30"/>
      <c r="AP298" s="30"/>
      <c r="BD298" s="30"/>
    </row>
    <row r="299" ht="15.75" customHeight="1">
      <c r="N299" s="30"/>
      <c r="AB299" s="30"/>
      <c r="AP299" s="30"/>
      <c r="BD299" s="30"/>
    </row>
    <row r="300" ht="15.75" customHeight="1">
      <c r="N300" s="30"/>
      <c r="AB300" s="30"/>
      <c r="AP300" s="30"/>
      <c r="BD300" s="30"/>
    </row>
    <row r="301" ht="15.75" customHeight="1">
      <c r="N301" s="30"/>
      <c r="AB301" s="30"/>
      <c r="AP301" s="30"/>
      <c r="BD301" s="30"/>
    </row>
    <row r="302" ht="15.75" customHeight="1">
      <c r="N302" s="30"/>
      <c r="AB302" s="30"/>
      <c r="AP302" s="30"/>
      <c r="BD302" s="30"/>
    </row>
    <row r="303" ht="15.75" customHeight="1">
      <c r="N303" s="30"/>
      <c r="AB303" s="30"/>
      <c r="AP303" s="30"/>
      <c r="BD303" s="30"/>
    </row>
    <row r="304" ht="15.75" customHeight="1">
      <c r="N304" s="30"/>
      <c r="AB304" s="30"/>
      <c r="AP304" s="30"/>
      <c r="BD304" s="30"/>
    </row>
    <row r="305" ht="15.75" customHeight="1">
      <c r="N305" s="30"/>
      <c r="AB305" s="30"/>
      <c r="AP305" s="30"/>
      <c r="BD305" s="30"/>
    </row>
    <row r="306" ht="15.75" customHeight="1">
      <c r="N306" s="30"/>
      <c r="AB306" s="30"/>
      <c r="AP306" s="30"/>
      <c r="BD306" s="30"/>
    </row>
    <row r="307" ht="15.75" customHeight="1">
      <c r="N307" s="30"/>
      <c r="AB307" s="30"/>
      <c r="AP307" s="30"/>
      <c r="BD307" s="30"/>
    </row>
    <row r="308" ht="15.75" customHeight="1">
      <c r="N308" s="30"/>
      <c r="AB308" s="30"/>
      <c r="AP308" s="30"/>
      <c r="BD308" s="30"/>
    </row>
    <row r="309" ht="15.75" customHeight="1">
      <c r="N309" s="30"/>
      <c r="AB309" s="30"/>
      <c r="AP309" s="30"/>
      <c r="BD309" s="30"/>
    </row>
    <row r="310" ht="15.75" customHeight="1">
      <c r="N310" s="30"/>
      <c r="AB310" s="30"/>
      <c r="AP310" s="30"/>
      <c r="BD310" s="30"/>
    </row>
    <row r="311" ht="15.75" customHeight="1">
      <c r="N311" s="30"/>
      <c r="AB311" s="30"/>
      <c r="AP311" s="30"/>
      <c r="BD311" s="30"/>
    </row>
    <row r="312" ht="15.75" customHeight="1">
      <c r="N312" s="30"/>
      <c r="AB312" s="30"/>
      <c r="AP312" s="30"/>
      <c r="BD312" s="30"/>
    </row>
    <row r="313" ht="15.75" customHeight="1">
      <c r="N313" s="30"/>
      <c r="AB313" s="30"/>
      <c r="AP313" s="30"/>
      <c r="BD313" s="30"/>
    </row>
    <row r="314" ht="15.75" customHeight="1">
      <c r="N314" s="30"/>
      <c r="AB314" s="30"/>
      <c r="AP314" s="30"/>
      <c r="BD314" s="30"/>
    </row>
    <row r="315" ht="15.75" customHeight="1">
      <c r="N315" s="30"/>
      <c r="AB315" s="30"/>
      <c r="AP315" s="30"/>
      <c r="BD315" s="30"/>
    </row>
    <row r="316" ht="15.75" customHeight="1">
      <c r="N316" s="30"/>
      <c r="AB316" s="30"/>
      <c r="AP316" s="30"/>
      <c r="BD316" s="30"/>
    </row>
    <row r="317" ht="15.75" customHeight="1">
      <c r="N317" s="30"/>
      <c r="AB317" s="30"/>
      <c r="AP317" s="30"/>
      <c r="BD317" s="30"/>
    </row>
    <row r="318" ht="15.75" customHeight="1">
      <c r="N318" s="30"/>
      <c r="AB318" s="30"/>
      <c r="AP318" s="30"/>
      <c r="BD318" s="30"/>
    </row>
    <row r="319" ht="15.75" customHeight="1">
      <c r="N319" s="30"/>
      <c r="AB319" s="30"/>
      <c r="AP319" s="30"/>
      <c r="BD319" s="30"/>
    </row>
    <row r="320" ht="15.75" customHeight="1">
      <c r="N320" s="30"/>
      <c r="AB320" s="30"/>
      <c r="AP320" s="30"/>
      <c r="BD320" s="30"/>
    </row>
    <row r="321" ht="15.75" customHeight="1">
      <c r="N321" s="30"/>
      <c r="AB321" s="30"/>
      <c r="AP321" s="30"/>
      <c r="BD321" s="30"/>
    </row>
    <row r="322" ht="15.75" customHeight="1">
      <c r="N322" s="30"/>
      <c r="AB322" s="30"/>
      <c r="AP322" s="30"/>
      <c r="BD322" s="30"/>
    </row>
    <row r="323" ht="15.75" customHeight="1">
      <c r="N323" s="30"/>
      <c r="AB323" s="30"/>
      <c r="AP323" s="30"/>
      <c r="BD323" s="30"/>
    </row>
    <row r="324" ht="15.75" customHeight="1">
      <c r="N324" s="30"/>
      <c r="AB324" s="30"/>
      <c r="AP324" s="30"/>
      <c r="BD324" s="30"/>
    </row>
    <row r="325" ht="15.75" customHeight="1">
      <c r="N325" s="30"/>
      <c r="AB325" s="30"/>
      <c r="AP325" s="30"/>
      <c r="BD325" s="30"/>
    </row>
    <row r="326" ht="15.75" customHeight="1">
      <c r="N326" s="30"/>
      <c r="AB326" s="30"/>
      <c r="AP326" s="30"/>
      <c r="BD326" s="30"/>
    </row>
    <row r="327" ht="15.75" customHeight="1">
      <c r="N327" s="30"/>
      <c r="AB327" s="30"/>
      <c r="AP327" s="30"/>
      <c r="BD327" s="30"/>
    </row>
    <row r="328" ht="15.75" customHeight="1">
      <c r="N328" s="30"/>
      <c r="AB328" s="30"/>
      <c r="AP328" s="30"/>
      <c r="BD328" s="30"/>
    </row>
    <row r="329" ht="15.75" customHeight="1">
      <c r="N329" s="30"/>
      <c r="AB329" s="30"/>
      <c r="AP329" s="30"/>
      <c r="BD329" s="30"/>
    </row>
    <row r="330" ht="15.75" customHeight="1">
      <c r="N330" s="30"/>
      <c r="AB330" s="30"/>
      <c r="AP330" s="30"/>
      <c r="BD330" s="30"/>
    </row>
    <row r="331" ht="15.75" customHeight="1">
      <c r="N331" s="30"/>
      <c r="AB331" s="30"/>
      <c r="AP331" s="30"/>
      <c r="BD331" s="30"/>
    </row>
    <row r="332" ht="15.75" customHeight="1">
      <c r="N332" s="30"/>
      <c r="AB332" s="30"/>
      <c r="AP332" s="30"/>
      <c r="BD332" s="30"/>
    </row>
    <row r="333" ht="15.75" customHeight="1">
      <c r="N333" s="30"/>
      <c r="AB333" s="30"/>
      <c r="AP333" s="30"/>
      <c r="BD333" s="30"/>
    </row>
    <row r="334" ht="15.75" customHeight="1">
      <c r="N334" s="30"/>
      <c r="AB334" s="30"/>
      <c r="AP334" s="30"/>
      <c r="BD334" s="30"/>
    </row>
    <row r="335" ht="15.75" customHeight="1">
      <c r="N335" s="30"/>
      <c r="AB335" s="30"/>
      <c r="AP335" s="30"/>
      <c r="BD335" s="30"/>
    </row>
    <row r="336" ht="15.75" customHeight="1">
      <c r="N336" s="30"/>
      <c r="AB336" s="30"/>
      <c r="AP336" s="30"/>
      <c r="BD336" s="30"/>
    </row>
    <row r="337" ht="15.75" customHeight="1">
      <c r="N337" s="30"/>
      <c r="AB337" s="30"/>
      <c r="AP337" s="30"/>
      <c r="BD337" s="30"/>
    </row>
    <row r="338" ht="15.75" customHeight="1">
      <c r="N338" s="30"/>
      <c r="AB338" s="30"/>
      <c r="AP338" s="30"/>
      <c r="BD338" s="30"/>
    </row>
    <row r="339" ht="15.75" customHeight="1">
      <c r="N339" s="30"/>
      <c r="AB339" s="30"/>
      <c r="AP339" s="30"/>
      <c r="BD339" s="30"/>
    </row>
    <row r="340" ht="15.75" customHeight="1">
      <c r="N340" s="30"/>
      <c r="AB340" s="30"/>
      <c r="AP340" s="30"/>
      <c r="BD340" s="30"/>
    </row>
    <row r="341" ht="15.75" customHeight="1">
      <c r="N341" s="30"/>
      <c r="AB341" s="30"/>
      <c r="AP341" s="30"/>
      <c r="BD341" s="30"/>
    </row>
    <row r="342" ht="15.75" customHeight="1">
      <c r="N342" s="30"/>
      <c r="AB342" s="30"/>
      <c r="AP342" s="30"/>
      <c r="BD342" s="30"/>
    </row>
    <row r="343" ht="15.75" customHeight="1">
      <c r="N343" s="30"/>
      <c r="AB343" s="30"/>
      <c r="AP343" s="30"/>
      <c r="BD343" s="30"/>
    </row>
    <row r="344" ht="15.75" customHeight="1">
      <c r="N344" s="30"/>
      <c r="AB344" s="30"/>
      <c r="AP344" s="30"/>
      <c r="BD344" s="30"/>
    </row>
    <row r="345" ht="15.75" customHeight="1">
      <c r="N345" s="30"/>
      <c r="AB345" s="30"/>
      <c r="AP345" s="30"/>
      <c r="BD345" s="30"/>
    </row>
    <row r="346" ht="15.75" customHeight="1">
      <c r="N346" s="30"/>
      <c r="AB346" s="30"/>
      <c r="AP346" s="30"/>
      <c r="BD346" s="30"/>
    </row>
    <row r="347" ht="15.75" customHeight="1">
      <c r="N347" s="30"/>
      <c r="AB347" s="30"/>
      <c r="AP347" s="30"/>
      <c r="BD347" s="30"/>
    </row>
    <row r="348" ht="15.75" customHeight="1">
      <c r="N348" s="30"/>
      <c r="AB348" s="30"/>
      <c r="AP348" s="30"/>
      <c r="BD348" s="30"/>
    </row>
    <row r="349" ht="15.75" customHeight="1">
      <c r="N349" s="30"/>
      <c r="AB349" s="30"/>
      <c r="AP349" s="30"/>
      <c r="BD349" s="30"/>
    </row>
    <row r="350" ht="15.75" customHeight="1">
      <c r="N350" s="30"/>
      <c r="AB350" s="30"/>
      <c r="AP350" s="30"/>
      <c r="BD350" s="30"/>
    </row>
    <row r="351" ht="15.75" customHeight="1">
      <c r="N351" s="30"/>
      <c r="AB351" s="30"/>
      <c r="AP351" s="30"/>
      <c r="BD351" s="30"/>
    </row>
    <row r="352" ht="15.75" customHeight="1">
      <c r="N352" s="30"/>
      <c r="AB352" s="30"/>
      <c r="AP352" s="30"/>
      <c r="BD352" s="30"/>
    </row>
    <row r="353" ht="15.75" customHeight="1">
      <c r="N353" s="30"/>
      <c r="AB353" s="30"/>
      <c r="AP353" s="30"/>
      <c r="BD353" s="30"/>
    </row>
    <row r="354" ht="15.75" customHeight="1">
      <c r="N354" s="30"/>
      <c r="AB354" s="30"/>
      <c r="AP354" s="30"/>
      <c r="BD354" s="30"/>
    </row>
    <row r="355" ht="15.75" customHeight="1">
      <c r="N355" s="30"/>
      <c r="AB355" s="30"/>
      <c r="AP355" s="30"/>
      <c r="BD355" s="30"/>
    </row>
    <row r="356" ht="15.75" customHeight="1">
      <c r="N356" s="30"/>
      <c r="AB356" s="30"/>
      <c r="AP356" s="30"/>
      <c r="BD356" s="30"/>
    </row>
    <row r="357" ht="15.75" customHeight="1">
      <c r="N357" s="30"/>
      <c r="AB357" s="30"/>
      <c r="AP357" s="30"/>
      <c r="BD357" s="30"/>
    </row>
    <row r="358" ht="15.75" customHeight="1">
      <c r="N358" s="30"/>
      <c r="AB358" s="30"/>
      <c r="AP358" s="30"/>
      <c r="BD358" s="30"/>
    </row>
    <row r="359" ht="15.75" customHeight="1">
      <c r="N359" s="30"/>
      <c r="AB359" s="30"/>
      <c r="AP359" s="30"/>
      <c r="BD359" s="30"/>
    </row>
    <row r="360" ht="15.75" customHeight="1">
      <c r="N360" s="30"/>
      <c r="AB360" s="30"/>
      <c r="AP360" s="30"/>
      <c r="BD360" s="30"/>
    </row>
    <row r="361" ht="15.75" customHeight="1">
      <c r="N361" s="30"/>
      <c r="AB361" s="30"/>
      <c r="AP361" s="30"/>
      <c r="BD361" s="30"/>
    </row>
    <row r="362" ht="15.75" customHeight="1">
      <c r="N362" s="30"/>
      <c r="AB362" s="30"/>
      <c r="AP362" s="30"/>
      <c r="BD362" s="30"/>
    </row>
    <row r="363" ht="15.75" customHeight="1">
      <c r="N363" s="30"/>
      <c r="AB363" s="30"/>
      <c r="AP363" s="30"/>
      <c r="BD363" s="30"/>
    </row>
    <row r="364" ht="15.75" customHeight="1">
      <c r="N364" s="30"/>
      <c r="AB364" s="30"/>
      <c r="AP364" s="30"/>
      <c r="BD364" s="30"/>
    </row>
    <row r="365" ht="15.75" customHeight="1">
      <c r="N365" s="30"/>
      <c r="AB365" s="30"/>
      <c r="AP365" s="30"/>
      <c r="BD365" s="30"/>
    </row>
    <row r="366" ht="15.75" customHeight="1">
      <c r="N366" s="30"/>
      <c r="AB366" s="30"/>
      <c r="AP366" s="30"/>
      <c r="BD366" s="30"/>
    </row>
    <row r="367" ht="15.75" customHeight="1">
      <c r="N367" s="30"/>
      <c r="AB367" s="30"/>
      <c r="AP367" s="30"/>
      <c r="BD367" s="30"/>
    </row>
    <row r="368" ht="15.75" customHeight="1">
      <c r="N368" s="30"/>
      <c r="AB368" s="30"/>
      <c r="AP368" s="30"/>
      <c r="BD368" s="30"/>
    </row>
    <row r="369" ht="15.75" customHeight="1">
      <c r="N369" s="30"/>
      <c r="AB369" s="30"/>
      <c r="AP369" s="30"/>
      <c r="BD369" s="30"/>
    </row>
    <row r="370" ht="15.75" customHeight="1">
      <c r="N370" s="30"/>
      <c r="AB370" s="30"/>
      <c r="AP370" s="30"/>
      <c r="BD370" s="30"/>
    </row>
    <row r="371" ht="15.75" customHeight="1">
      <c r="N371" s="30"/>
      <c r="AB371" s="30"/>
      <c r="AP371" s="30"/>
      <c r="BD371" s="30"/>
    </row>
    <row r="372" ht="15.75" customHeight="1">
      <c r="N372" s="30"/>
      <c r="AB372" s="30"/>
      <c r="AP372" s="30"/>
      <c r="BD372" s="30"/>
    </row>
    <row r="373" ht="15.75" customHeight="1">
      <c r="N373" s="30"/>
      <c r="AB373" s="30"/>
      <c r="AP373" s="30"/>
      <c r="BD373" s="30"/>
    </row>
    <row r="374" ht="15.75" customHeight="1">
      <c r="N374" s="30"/>
      <c r="AB374" s="30"/>
      <c r="AP374" s="30"/>
      <c r="BD374" s="30"/>
    </row>
    <row r="375" ht="15.75" customHeight="1">
      <c r="N375" s="30"/>
      <c r="AB375" s="30"/>
      <c r="AP375" s="30"/>
      <c r="BD375" s="30"/>
    </row>
    <row r="376" ht="15.75" customHeight="1">
      <c r="N376" s="30"/>
      <c r="AB376" s="30"/>
      <c r="AP376" s="30"/>
      <c r="BD376" s="30"/>
    </row>
    <row r="377" ht="15.75" customHeight="1">
      <c r="N377" s="30"/>
      <c r="AB377" s="30"/>
      <c r="AP377" s="30"/>
      <c r="BD377" s="30"/>
    </row>
    <row r="378" ht="15.75" customHeight="1">
      <c r="N378" s="30"/>
      <c r="AB378" s="30"/>
      <c r="AP378" s="30"/>
      <c r="BD378" s="30"/>
    </row>
    <row r="379" ht="15.75" customHeight="1">
      <c r="N379" s="30"/>
      <c r="AB379" s="30"/>
      <c r="AP379" s="30"/>
      <c r="BD379" s="30"/>
    </row>
    <row r="380" ht="15.75" customHeight="1">
      <c r="N380" s="30"/>
      <c r="AB380" s="30"/>
      <c r="AP380" s="30"/>
      <c r="BD380" s="30"/>
    </row>
    <row r="381" ht="15.75" customHeight="1">
      <c r="N381" s="30"/>
      <c r="AB381" s="30"/>
      <c r="AP381" s="30"/>
      <c r="BD381" s="30"/>
    </row>
    <row r="382" ht="15.75" customHeight="1">
      <c r="N382" s="30"/>
      <c r="AB382" s="30"/>
      <c r="AP382" s="30"/>
      <c r="BD382" s="30"/>
    </row>
    <row r="383" ht="15.75" customHeight="1">
      <c r="N383" s="30"/>
      <c r="AB383" s="30"/>
      <c r="AP383" s="30"/>
      <c r="BD383" s="30"/>
    </row>
    <row r="384" ht="15.75" customHeight="1">
      <c r="N384" s="30"/>
      <c r="AB384" s="30"/>
      <c r="AP384" s="30"/>
      <c r="BD384" s="30"/>
    </row>
    <row r="385" ht="15.75" customHeight="1">
      <c r="N385" s="30"/>
      <c r="AB385" s="30"/>
      <c r="AP385" s="30"/>
      <c r="BD385" s="30"/>
    </row>
    <row r="386" ht="15.75" customHeight="1">
      <c r="N386" s="30"/>
      <c r="AB386" s="30"/>
      <c r="AP386" s="30"/>
      <c r="BD386" s="30"/>
    </row>
    <row r="387" ht="15.75" customHeight="1">
      <c r="N387" s="30"/>
      <c r="AB387" s="30"/>
      <c r="AP387" s="30"/>
      <c r="BD387" s="30"/>
    </row>
    <row r="388" ht="15.75" customHeight="1">
      <c r="N388" s="30"/>
      <c r="AB388" s="30"/>
      <c r="AP388" s="30"/>
      <c r="BD388" s="30"/>
    </row>
    <row r="389" ht="15.75" customHeight="1">
      <c r="N389" s="30"/>
      <c r="AB389" s="30"/>
      <c r="AP389" s="30"/>
      <c r="BD389" s="30"/>
    </row>
    <row r="390" ht="15.75" customHeight="1">
      <c r="N390" s="30"/>
      <c r="AB390" s="30"/>
      <c r="AP390" s="30"/>
      <c r="BD390" s="30"/>
    </row>
    <row r="391" ht="15.75" customHeight="1">
      <c r="N391" s="30"/>
      <c r="AB391" s="30"/>
      <c r="AP391" s="30"/>
      <c r="BD391" s="30"/>
    </row>
    <row r="392" ht="15.75" customHeight="1">
      <c r="N392" s="30"/>
      <c r="AB392" s="30"/>
      <c r="AP392" s="30"/>
      <c r="BD392" s="30"/>
    </row>
    <row r="393" ht="15.75" customHeight="1">
      <c r="N393" s="30"/>
      <c r="AB393" s="30"/>
      <c r="AP393" s="30"/>
      <c r="BD393" s="30"/>
    </row>
    <row r="394" ht="15.75" customHeight="1">
      <c r="N394" s="30"/>
      <c r="AB394" s="30"/>
      <c r="AP394" s="30"/>
      <c r="BD394" s="30"/>
    </row>
    <row r="395" ht="15.75" customHeight="1">
      <c r="N395" s="30"/>
      <c r="AB395" s="30"/>
      <c r="AP395" s="30"/>
      <c r="BD395" s="30"/>
    </row>
    <row r="396" ht="15.75" customHeight="1">
      <c r="N396" s="30"/>
      <c r="AB396" s="30"/>
      <c r="AP396" s="30"/>
      <c r="BD396" s="30"/>
    </row>
    <row r="397" ht="15.75" customHeight="1">
      <c r="N397" s="30"/>
      <c r="AB397" s="30"/>
      <c r="AP397" s="30"/>
      <c r="BD397" s="30"/>
    </row>
    <row r="398" ht="15.75" customHeight="1">
      <c r="N398" s="30"/>
      <c r="AB398" s="30"/>
      <c r="AP398" s="30"/>
      <c r="BD398" s="30"/>
    </row>
    <row r="399" ht="15.75" customHeight="1">
      <c r="N399" s="30"/>
      <c r="AB399" s="30"/>
      <c r="AP399" s="30"/>
      <c r="BD399" s="30"/>
    </row>
    <row r="400" ht="15.75" customHeight="1">
      <c r="N400" s="30"/>
      <c r="AB400" s="30"/>
      <c r="AP400" s="30"/>
      <c r="BD400" s="30"/>
    </row>
    <row r="401" ht="15.75" customHeight="1">
      <c r="N401" s="30"/>
      <c r="AB401" s="30"/>
      <c r="AP401" s="30"/>
      <c r="BD401" s="30"/>
    </row>
    <row r="402" ht="15.75" customHeight="1">
      <c r="N402" s="30"/>
      <c r="AB402" s="30"/>
      <c r="AP402" s="30"/>
      <c r="BD402" s="30"/>
    </row>
    <row r="403" ht="15.75" customHeight="1">
      <c r="N403" s="30"/>
      <c r="AB403" s="30"/>
      <c r="AP403" s="30"/>
      <c r="BD403" s="30"/>
    </row>
    <row r="404" ht="15.75" customHeight="1">
      <c r="N404" s="30"/>
      <c r="AB404" s="30"/>
      <c r="AP404" s="30"/>
      <c r="BD404" s="30"/>
    </row>
    <row r="405" ht="15.75" customHeight="1">
      <c r="N405" s="30"/>
      <c r="AB405" s="30"/>
      <c r="AP405" s="30"/>
      <c r="BD405" s="30"/>
    </row>
    <row r="406" ht="15.75" customHeight="1">
      <c r="N406" s="30"/>
      <c r="AB406" s="30"/>
      <c r="AP406" s="30"/>
      <c r="BD406" s="30"/>
    </row>
    <row r="407" ht="15.75" customHeight="1">
      <c r="N407" s="30"/>
      <c r="AB407" s="30"/>
      <c r="AP407" s="30"/>
      <c r="BD407" s="30"/>
    </row>
    <row r="408" ht="15.75" customHeight="1">
      <c r="N408" s="30"/>
      <c r="AB408" s="30"/>
      <c r="AP408" s="30"/>
      <c r="BD408" s="30"/>
    </row>
    <row r="409" ht="15.75" customHeight="1">
      <c r="N409" s="30"/>
      <c r="AB409" s="30"/>
      <c r="AP409" s="30"/>
      <c r="BD409" s="30"/>
    </row>
    <row r="410" ht="15.75" customHeight="1">
      <c r="N410" s="30"/>
      <c r="AB410" s="30"/>
      <c r="AP410" s="30"/>
      <c r="BD410" s="30"/>
    </row>
    <row r="411" ht="15.75" customHeight="1">
      <c r="N411" s="30"/>
      <c r="AB411" s="30"/>
      <c r="AP411" s="30"/>
      <c r="BD411" s="30"/>
    </row>
    <row r="412" ht="15.75" customHeight="1">
      <c r="N412" s="30"/>
      <c r="AB412" s="30"/>
      <c r="AP412" s="30"/>
      <c r="BD412" s="30"/>
    </row>
    <row r="413" ht="15.75" customHeight="1">
      <c r="N413" s="30"/>
      <c r="AB413" s="30"/>
      <c r="AP413" s="30"/>
      <c r="BD413" s="30"/>
    </row>
    <row r="414" ht="15.75" customHeight="1">
      <c r="N414" s="30"/>
      <c r="AB414" s="30"/>
      <c r="AP414" s="30"/>
      <c r="BD414" s="30"/>
    </row>
    <row r="415" ht="15.75" customHeight="1">
      <c r="N415" s="30"/>
      <c r="AB415" s="30"/>
      <c r="AP415" s="30"/>
      <c r="BD415" s="30"/>
    </row>
    <row r="416" ht="15.75" customHeight="1">
      <c r="N416" s="30"/>
      <c r="AB416" s="30"/>
      <c r="AP416" s="30"/>
      <c r="BD416" s="30"/>
    </row>
    <row r="417" ht="15.75" customHeight="1">
      <c r="N417" s="30"/>
      <c r="AB417" s="30"/>
      <c r="AP417" s="30"/>
      <c r="BD417" s="30"/>
    </row>
    <row r="418" ht="15.75" customHeight="1">
      <c r="N418" s="30"/>
      <c r="AB418" s="30"/>
      <c r="AP418" s="30"/>
      <c r="BD418" s="30"/>
    </row>
    <row r="419" ht="15.75" customHeight="1">
      <c r="N419" s="30"/>
      <c r="AB419" s="30"/>
      <c r="AP419" s="30"/>
      <c r="BD419" s="30"/>
    </row>
    <row r="420" ht="15.75" customHeight="1">
      <c r="N420" s="30"/>
      <c r="AB420" s="30"/>
      <c r="AP420" s="30"/>
      <c r="BD420" s="30"/>
    </row>
    <row r="421" ht="15.75" customHeight="1">
      <c r="N421" s="30"/>
      <c r="AB421" s="30"/>
      <c r="AP421" s="30"/>
      <c r="BD421" s="30"/>
    </row>
    <row r="422" ht="15.75" customHeight="1">
      <c r="N422" s="30"/>
      <c r="AB422" s="30"/>
      <c r="AP422" s="30"/>
      <c r="BD422" s="30"/>
    </row>
    <row r="423" ht="15.75" customHeight="1">
      <c r="N423" s="30"/>
      <c r="AB423" s="30"/>
      <c r="AP423" s="30"/>
      <c r="BD423" s="30"/>
    </row>
    <row r="424" ht="15.75" customHeight="1">
      <c r="N424" s="30"/>
      <c r="AB424" s="30"/>
      <c r="AP424" s="30"/>
      <c r="BD424" s="30"/>
    </row>
    <row r="425" ht="15.75" customHeight="1">
      <c r="N425" s="30"/>
      <c r="AB425" s="30"/>
      <c r="AP425" s="30"/>
      <c r="BD425" s="30"/>
    </row>
    <row r="426" ht="15.75" customHeight="1">
      <c r="N426" s="30"/>
      <c r="AB426" s="30"/>
      <c r="AP426" s="30"/>
      <c r="BD426" s="30"/>
    </row>
    <row r="427" ht="15.75" customHeight="1">
      <c r="N427" s="30"/>
      <c r="AB427" s="30"/>
      <c r="AP427" s="30"/>
      <c r="BD427" s="30"/>
    </row>
    <row r="428" ht="15.75" customHeight="1">
      <c r="N428" s="30"/>
      <c r="AB428" s="30"/>
      <c r="AP428" s="30"/>
      <c r="BD428" s="30"/>
    </row>
    <row r="429" ht="15.75" customHeight="1">
      <c r="N429" s="30"/>
      <c r="AB429" s="30"/>
      <c r="AP429" s="30"/>
      <c r="BD429" s="30"/>
    </row>
    <row r="430" ht="15.75" customHeight="1">
      <c r="N430" s="30"/>
      <c r="AB430" s="30"/>
      <c r="AP430" s="30"/>
      <c r="BD430" s="30"/>
    </row>
    <row r="431" ht="15.75" customHeight="1">
      <c r="N431" s="30"/>
      <c r="AB431" s="30"/>
      <c r="AP431" s="30"/>
      <c r="BD431" s="30"/>
    </row>
    <row r="432" ht="15.75" customHeight="1">
      <c r="N432" s="30"/>
      <c r="AB432" s="30"/>
      <c r="AP432" s="30"/>
      <c r="BD432" s="30"/>
    </row>
    <row r="433" ht="15.75" customHeight="1">
      <c r="N433" s="30"/>
      <c r="AB433" s="30"/>
      <c r="AP433" s="30"/>
      <c r="BD433" s="30"/>
    </row>
    <row r="434" ht="15.75" customHeight="1">
      <c r="N434" s="30"/>
      <c r="AB434" s="30"/>
      <c r="AP434" s="30"/>
      <c r="BD434" s="30"/>
    </row>
    <row r="435" ht="15.75" customHeight="1">
      <c r="N435" s="30"/>
      <c r="AB435" s="30"/>
      <c r="AP435" s="30"/>
      <c r="BD435" s="30"/>
    </row>
    <row r="436" ht="15.75" customHeight="1">
      <c r="N436" s="30"/>
      <c r="AB436" s="30"/>
      <c r="AP436" s="30"/>
      <c r="BD436" s="30"/>
    </row>
    <row r="437" ht="15.75" customHeight="1">
      <c r="N437" s="30"/>
      <c r="AB437" s="30"/>
      <c r="AP437" s="30"/>
      <c r="BD437" s="30"/>
    </row>
    <row r="438" ht="15.75" customHeight="1">
      <c r="N438" s="30"/>
      <c r="AB438" s="30"/>
      <c r="AP438" s="30"/>
      <c r="BD438" s="30"/>
    </row>
    <row r="439" ht="15.75" customHeight="1">
      <c r="N439" s="30"/>
      <c r="AB439" s="30"/>
      <c r="AP439" s="30"/>
      <c r="BD439" s="30"/>
    </row>
    <row r="440" ht="15.75" customHeight="1">
      <c r="N440" s="30"/>
      <c r="AB440" s="30"/>
      <c r="AP440" s="30"/>
      <c r="BD440" s="30"/>
    </row>
    <row r="441" ht="15.75" customHeight="1">
      <c r="N441" s="30"/>
      <c r="AB441" s="30"/>
      <c r="AP441" s="30"/>
      <c r="BD441" s="30"/>
    </row>
    <row r="442" ht="15.75" customHeight="1">
      <c r="N442" s="30"/>
      <c r="AB442" s="30"/>
      <c r="AP442" s="30"/>
      <c r="BD442" s="30"/>
    </row>
    <row r="443" ht="15.75" customHeight="1">
      <c r="N443" s="30"/>
      <c r="AB443" s="30"/>
      <c r="AP443" s="30"/>
      <c r="BD443" s="30"/>
    </row>
    <row r="444" ht="15.75" customHeight="1">
      <c r="N444" s="30"/>
      <c r="AB444" s="30"/>
      <c r="AP444" s="30"/>
      <c r="BD444" s="30"/>
    </row>
    <row r="445" ht="15.75" customHeight="1">
      <c r="N445" s="30"/>
      <c r="AB445" s="30"/>
      <c r="AP445" s="30"/>
      <c r="BD445" s="30"/>
    </row>
    <row r="446" ht="15.75" customHeight="1">
      <c r="N446" s="30"/>
      <c r="AB446" s="30"/>
      <c r="AP446" s="30"/>
      <c r="BD446" s="30"/>
    </row>
    <row r="447" ht="15.75" customHeight="1">
      <c r="N447" s="30"/>
      <c r="AB447" s="30"/>
      <c r="AP447" s="30"/>
      <c r="BD447" s="30"/>
    </row>
    <row r="448" ht="15.75" customHeight="1">
      <c r="N448" s="30"/>
      <c r="AB448" s="30"/>
      <c r="AP448" s="30"/>
      <c r="BD448" s="30"/>
    </row>
    <row r="449" ht="15.75" customHeight="1">
      <c r="N449" s="30"/>
      <c r="AB449" s="30"/>
      <c r="AP449" s="30"/>
      <c r="BD449" s="30"/>
    </row>
    <row r="450" ht="15.75" customHeight="1">
      <c r="N450" s="30"/>
      <c r="AB450" s="30"/>
      <c r="AP450" s="30"/>
      <c r="BD450" s="30"/>
    </row>
    <row r="451" ht="15.75" customHeight="1">
      <c r="N451" s="30"/>
      <c r="AB451" s="30"/>
      <c r="AP451" s="30"/>
      <c r="BD451" s="30"/>
    </row>
    <row r="452" ht="15.75" customHeight="1">
      <c r="N452" s="30"/>
      <c r="AB452" s="30"/>
      <c r="AP452" s="30"/>
      <c r="BD452" s="30"/>
    </row>
    <row r="453" ht="15.75" customHeight="1">
      <c r="N453" s="30"/>
      <c r="AB453" s="30"/>
      <c r="AP453" s="30"/>
      <c r="BD453" s="30"/>
    </row>
    <row r="454" ht="15.75" customHeight="1">
      <c r="N454" s="30"/>
      <c r="AB454" s="30"/>
      <c r="AP454" s="30"/>
      <c r="BD454" s="30"/>
    </row>
    <row r="455" ht="15.75" customHeight="1">
      <c r="N455" s="30"/>
      <c r="AB455" s="30"/>
      <c r="AP455" s="30"/>
      <c r="BD455" s="30"/>
    </row>
    <row r="456" ht="15.75" customHeight="1">
      <c r="N456" s="30"/>
      <c r="AB456" s="30"/>
      <c r="AP456" s="30"/>
      <c r="BD456" s="30"/>
    </row>
    <row r="457" ht="15.75" customHeight="1">
      <c r="N457" s="30"/>
      <c r="AB457" s="30"/>
      <c r="AP457" s="30"/>
      <c r="BD457" s="30"/>
    </row>
    <row r="458" ht="15.75" customHeight="1">
      <c r="N458" s="30"/>
      <c r="AB458" s="30"/>
      <c r="AP458" s="30"/>
      <c r="BD458" s="30"/>
    </row>
    <row r="459" ht="15.75" customHeight="1">
      <c r="N459" s="30"/>
      <c r="AB459" s="30"/>
      <c r="AP459" s="30"/>
      <c r="BD459" s="30"/>
    </row>
    <row r="460" ht="15.75" customHeight="1">
      <c r="N460" s="30"/>
      <c r="AB460" s="30"/>
      <c r="AP460" s="30"/>
      <c r="BD460" s="30"/>
    </row>
    <row r="461" ht="15.75" customHeight="1">
      <c r="N461" s="30"/>
      <c r="AB461" s="30"/>
      <c r="AP461" s="30"/>
      <c r="BD461" s="30"/>
    </row>
    <row r="462" ht="15.75" customHeight="1">
      <c r="N462" s="30"/>
      <c r="AB462" s="30"/>
      <c r="AP462" s="30"/>
      <c r="BD462" s="30"/>
    </row>
    <row r="463" ht="15.75" customHeight="1">
      <c r="N463" s="30"/>
      <c r="AB463" s="30"/>
      <c r="AP463" s="30"/>
      <c r="BD463" s="30"/>
    </row>
    <row r="464" ht="15.75" customHeight="1">
      <c r="N464" s="30"/>
      <c r="AB464" s="30"/>
      <c r="AP464" s="30"/>
      <c r="BD464" s="30"/>
    </row>
    <row r="465" ht="15.75" customHeight="1">
      <c r="N465" s="30"/>
      <c r="AB465" s="30"/>
      <c r="AP465" s="30"/>
      <c r="BD465" s="30"/>
    </row>
    <row r="466" ht="15.75" customHeight="1">
      <c r="N466" s="30"/>
      <c r="AB466" s="30"/>
      <c r="AP466" s="30"/>
      <c r="BD466" s="30"/>
    </row>
    <row r="467" ht="15.75" customHeight="1">
      <c r="N467" s="30"/>
      <c r="AB467" s="30"/>
      <c r="AP467" s="30"/>
      <c r="BD467" s="30"/>
    </row>
    <row r="468" ht="15.75" customHeight="1">
      <c r="N468" s="30"/>
      <c r="AB468" s="30"/>
      <c r="AP468" s="30"/>
      <c r="BD468" s="30"/>
    </row>
    <row r="469" ht="15.75" customHeight="1">
      <c r="N469" s="30"/>
      <c r="AB469" s="30"/>
      <c r="AP469" s="30"/>
      <c r="BD469" s="30"/>
    </row>
    <row r="470" ht="15.75" customHeight="1">
      <c r="N470" s="30"/>
      <c r="AB470" s="30"/>
      <c r="AP470" s="30"/>
      <c r="BD470" s="30"/>
    </row>
    <row r="471" ht="15.75" customHeight="1">
      <c r="N471" s="30"/>
      <c r="AB471" s="30"/>
      <c r="AP471" s="30"/>
      <c r="BD471" s="30"/>
    </row>
    <row r="472" ht="15.75" customHeight="1">
      <c r="N472" s="30"/>
      <c r="AB472" s="30"/>
      <c r="AP472" s="30"/>
      <c r="BD472" s="30"/>
    </row>
    <row r="473" ht="15.75" customHeight="1">
      <c r="N473" s="30"/>
      <c r="AB473" s="30"/>
      <c r="AP473" s="30"/>
      <c r="BD473" s="30"/>
    </row>
    <row r="474" ht="15.75" customHeight="1">
      <c r="N474" s="30"/>
      <c r="AB474" s="30"/>
      <c r="AP474" s="30"/>
      <c r="BD474" s="30"/>
    </row>
    <row r="475" ht="15.75" customHeight="1">
      <c r="N475" s="30"/>
      <c r="AB475" s="30"/>
      <c r="AP475" s="30"/>
      <c r="BD475" s="30"/>
    </row>
    <row r="476" ht="15.75" customHeight="1">
      <c r="N476" s="30"/>
      <c r="AB476" s="30"/>
      <c r="AP476" s="30"/>
      <c r="BD476" s="30"/>
    </row>
    <row r="477" ht="15.75" customHeight="1">
      <c r="N477" s="30"/>
      <c r="AB477" s="30"/>
      <c r="AP477" s="30"/>
      <c r="BD477" s="30"/>
    </row>
    <row r="478" ht="15.75" customHeight="1">
      <c r="N478" s="30"/>
      <c r="AB478" s="30"/>
      <c r="AP478" s="30"/>
      <c r="BD478" s="30"/>
    </row>
    <row r="479" ht="15.75" customHeight="1">
      <c r="N479" s="30"/>
      <c r="AB479" s="30"/>
      <c r="AP479" s="30"/>
      <c r="BD479" s="30"/>
    </row>
    <row r="480" ht="15.75" customHeight="1">
      <c r="N480" s="30"/>
      <c r="AB480" s="30"/>
      <c r="AP480" s="30"/>
      <c r="BD480" s="30"/>
    </row>
    <row r="481" ht="15.75" customHeight="1">
      <c r="N481" s="30"/>
      <c r="AB481" s="30"/>
      <c r="AP481" s="30"/>
      <c r="BD481" s="30"/>
    </row>
    <row r="482" ht="15.75" customHeight="1">
      <c r="N482" s="30"/>
      <c r="AB482" s="30"/>
      <c r="AP482" s="30"/>
      <c r="BD482" s="30"/>
    </row>
    <row r="483" ht="15.75" customHeight="1">
      <c r="N483" s="30"/>
      <c r="AB483" s="30"/>
      <c r="AP483" s="30"/>
      <c r="BD483" s="30"/>
    </row>
    <row r="484" ht="15.75" customHeight="1">
      <c r="N484" s="30"/>
      <c r="AB484" s="30"/>
      <c r="AP484" s="30"/>
      <c r="BD484" s="30"/>
    </row>
    <row r="485" ht="15.75" customHeight="1">
      <c r="N485" s="30"/>
      <c r="AB485" s="30"/>
      <c r="AP485" s="30"/>
      <c r="BD485" s="30"/>
    </row>
    <row r="486" ht="15.75" customHeight="1">
      <c r="N486" s="30"/>
      <c r="AB486" s="30"/>
      <c r="AP486" s="30"/>
      <c r="BD486" s="30"/>
    </row>
    <row r="487" ht="15.75" customHeight="1">
      <c r="N487" s="30"/>
      <c r="AB487" s="30"/>
      <c r="AP487" s="30"/>
      <c r="BD487" s="30"/>
    </row>
    <row r="488" ht="15.75" customHeight="1">
      <c r="N488" s="30"/>
      <c r="AB488" s="30"/>
      <c r="AP488" s="30"/>
      <c r="BD488" s="30"/>
    </row>
    <row r="489" ht="15.75" customHeight="1">
      <c r="N489" s="30"/>
      <c r="AB489" s="30"/>
      <c r="AP489" s="30"/>
      <c r="BD489" s="30"/>
    </row>
    <row r="490" ht="15.75" customHeight="1">
      <c r="N490" s="30"/>
      <c r="AB490" s="30"/>
      <c r="AP490" s="30"/>
      <c r="BD490" s="30"/>
    </row>
    <row r="491" ht="15.75" customHeight="1">
      <c r="N491" s="30"/>
      <c r="AB491" s="30"/>
      <c r="AP491" s="30"/>
      <c r="BD491" s="30"/>
    </row>
    <row r="492" ht="15.75" customHeight="1">
      <c r="N492" s="30"/>
      <c r="AB492" s="30"/>
      <c r="AP492" s="30"/>
      <c r="BD492" s="30"/>
    </row>
    <row r="493" ht="15.75" customHeight="1">
      <c r="N493" s="30"/>
      <c r="AB493" s="30"/>
      <c r="AP493" s="30"/>
      <c r="BD493" s="30"/>
    </row>
    <row r="494" ht="15.75" customHeight="1">
      <c r="N494" s="30"/>
      <c r="AB494" s="30"/>
      <c r="AP494" s="30"/>
      <c r="BD494" s="30"/>
    </row>
    <row r="495" ht="15.75" customHeight="1">
      <c r="N495" s="30"/>
      <c r="AB495" s="30"/>
      <c r="AP495" s="30"/>
      <c r="BD495" s="30"/>
    </row>
    <row r="496" ht="15.75" customHeight="1">
      <c r="N496" s="30"/>
      <c r="AB496" s="30"/>
      <c r="AP496" s="30"/>
      <c r="BD496" s="30"/>
    </row>
    <row r="497" ht="15.75" customHeight="1">
      <c r="N497" s="30"/>
      <c r="AB497" s="30"/>
      <c r="AP497" s="30"/>
      <c r="BD497" s="30"/>
    </row>
    <row r="498" ht="15.75" customHeight="1">
      <c r="N498" s="30"/>
      <c r="AB498" s="30"/>
      <c r="AP498" s="30"/>
      <c r="BD498" s="30"/>
    </row>
    <row r="499" ht="15.75" customHeight="1">
      <c r="N499" s="30"/>
      <c r="AB499" s="30"/>
      <c r="AP499" s="30"/>
      <c r="BD499" s="30"/>
    </row>
    <row r="500" ht="15.75" customHeight="1">
      <c r="N500" s="30"/>
      <c r="AB500" s="30"/>
      <c r="AP500" s="30"/>
      <c r="BD500" s="30"/>
    </row>
    <row r="501" ht="15.75" customHeight="1">
      <c r="N501" s="30"/>
      <c r="AB501" s="30"/>
      <c r="AP501" s="30"/>
      <c r="BD501" s="30"/>
    </row>
    <row r="502" ht="15.75" customHeight="1">
      <c r="N502" s="30"/>
      <c r="AB502" s="30"/>
      <c r="AP502" s="30"/>
      <c r="BD502" s="30"/>
    </row>
    <row r="503" ht="15.75" customHeight="1">
      <c r="N503" s="30"/>
      <c r="AB503" s="30"/>
      <c r="AP503" s="30"/>
      <c r="BD503" s="30"/>
    </row>
    <row r="504" ht="15.75" customHeight="1">
      <c r="N504" s="30"/>
      <c r="AB504" s="30"/>
      <c r="AP504" s="30"/>
      <c r="BD504" s="30"/>
    </row>
    <row r="505" ht="15.75" customHeight="1">
      <c r="N505" s="30"/>
      <c r="AB505" s="30"/>
      <c r="AP505" s="30"/>
      <c r="BD505" s="30"/>
    </row>
    <row r="506" ht="15.75" customHeight="1">
      <c r="N506" s="30"/>
      <c r="AB506" s="30"/>
      <c r="AP506" s="30"/>
      <c r="BD506" s="30"/>
    </row>
    <row r="507" ht="15.75" customHeight="1">
      <c r="N507" s="30"/>
      <c r="AB507" s="30"/>
      <c r="AP507" s="30"/>
      <c r="BD507" s="30"/>
    </row>
    <row r="508" ht="15.75" customHeight="1">
      <c r="N508" s="30"/>
      <c r="AB508" s="30"/>
      <c r="AP508" s="30"/>
      <c r="BD508" s="30"/>
    </row>
    <row r="509" ht="15.75" customHeight="1">
      <c r="N509" s="30"/>
      <c r="AB509" s="30"/>
      <c r="AP509" s="30"/>
      <c r="BD509" s="30"/>
    </row>
    <row r="510" ht="15.75" customHeight="1">
      <c r="N510" s="30"/>
      <c r="AB510" s="30"/>
      <c r="AP510" s="30"/>
      <c r="BD510" s="30"/>
    </row>
    <row r="511" ht="15.75" customHeight="1">
      <c r="N511" s="30"/>
      <c r="AB511" s="30"/>
      <c r="AP511" s="30"/>
      <c r="BD511" s="30"/>
    </row>
    <row r="512" ht="15.75" customHeight="1">
      <c r="N512" s="30"/>
      <c r="AB512" s="30"/>
      <c r="AP512" s="30"/>
      <c r="BD512" s="30"/>
    </row>
    <row r="513" ht="15.75" customHeight="1">
      <c r="N513" s="30"/>
      <c r="AB513" s="30"/>
      <c r="AP513" s="30"/>
      <c r="BD513" s="30"/>
    </row>
    <row r="514" ht="15.75" customHeight="1">
      <c r="N514" s="30"/>
      <c r="AB514" s="30"/>
      <c r="AP514" s="30"/>
      <c r="BD514" s="30"/>
    </row>
    <row r="515" ht="15.75" customHeight="1">
      <c r="N515" s="30"/>
      <c r="AB515" s="30"/>
      <c r="AP515" s="30"/>
      <c r="BD515" s="30"/>
    </row>
    <row r="516" ht="15.75" customHeight="1">
      <c r="N516" s="30"/>
      <c r="AB516" s="30"/>
      <c r="AP516" s="30"/>
      <c r="BD516" s="30"/>
    </row>
    <row r="517" ht="15.75" customHeight="1">
      <c r="N517" s="30"/>
      <c r="AB517" s="30"/>
      <c r="AP517" s="30"/>
      <c r="BD517" s="30"/>
    </row>
    <row r="518" ht="15.75" customHeight="1">
      <c r="N518" s="30"/>
      <c r="AB518" s="30"/>
      <c r="AP518" s="30"/>
      <c r="BD518" s="30"/>
    </row>
    <row r="519" ht="15.75" customHeight="1">
      <c r="N519" s="30"/>
      <c r="AB519" s="30"/>
      <c r="AP519" s="30"/>
      <c r="BD519" s="30"/>
    </row>
    <row r="520" ht="15.75" customHeight="1">
      <c r="N520" s="30"/>
      <c r="AB520" s="30"/>
      <c r="AP520" s="30"/>
      <c r="BD520" s="30"/>
    </row>
    <row r="521" ht="15.75" customHeight="1">
      <c r="N521" s="30"/>
      <c r="AB521" s="30"/>
      <c r="AP521" s="30"/>
      <c r="BD521" s="30"/>
    </row>
    <row r="522" ht="15.75" customHeight="1">
      <c r="N522" s="30"/>
      <c r="AB522" s="30"/>
      <c r="AP522" s="30"/>
      <c r="BD522" s="30"/>
    </row>
    <row r="523" ht="15.75" customHeight="1">
      <c r="N523" s="30"/>
      <c r="AB523" s="30"/>
      <c r="AP523" s="30"/>
      <c r="BD523" s="30"/>
    </row>
    <row r="524" ht="15.75" customHeight="1">
      <c r="N524" s="30"/>
      <c r="AB524" s="30"/>
      <c r="AP524" s="30"/>
      <c r="BD524" s="30"/>
    </row>
    <row r="525" ht="15.75" customHeight="1">
      <c r="N525" s="30"/>
      <c r="AB525" s="30"/>
      <c r="AP525" s="30"/>
      <c r="BD525" s="30"/>
    </row>
    <row r="526" ht="15.75" customHeight="1">
      <c r="N526" s="30"/>
      <c r="AB526" s="30"/>
      <c r="AP526" s="30"/>
      <c r="BD526" s="30"/>
    </row>
    <row r="527" ht="15.75" customHeight="1">
      <c r="N527" s="30"/>
      <c r="AB527" s="30"/>
      <c r="AP527" s="30"/>
      <c r="BD527" s="30"/>
    </row>
    <row r="528" ht="15.75" customHeight="1">
      <c r="N528" s="30"/>
      <c r="AB528" s="30"/>
      <c r="AP528" s="30"/>
      <c r="BD528" s="30"/>
    </row>
    <row r="529" ht="15.75" customHeight="1">
      <c r="N529" s="30"/>
      <c r="AB529" s="30"/>
      <c r="AP529" s="30"/>
      <c r="BD529" s="30"/>
    </row>
    <row r="530" ht="15.75" customHeight="1">
      <c r="N530" s="30"/>
      <c r="AB530" s="30"/>
      <c r="AP530" s="30"/>
      <c r="BD530" s="30"/>
    </row>
    <row r="531" ht="15.75" customHeight="1">
      <c r="N531" s="30"/>
      <c r="AB531" s="30"/>
      <c r="AP531" s="30"/>
      <c r="BD531" s="30"/>
    </row>
    <row r="532" ht="15.75" customHeight="1">
      <c r="N532" s="30"/>
      <c r="AB532" s="30"/>
      <c r="AP532" s="30"/>
      <c r="BD532" s="30"/>
    </row>
    <row r="533" ht="15.75" customHeight="1">
      <c r="N533" s="30"/>
      <c r="AB533" s="30"/>
      <c r="AP533" s="30"/>
      <c r="BD533" s="30"/>
    </row>
    <row r="534" ht="15.75" customHeight="1">
      <c r="N534" s="30"/>
      <c r="AB534" s="30"/>
      <c r="AP534" s="30"/>
      <c r="BD534" s="30"/>
    </row>
    <row r="535" ht="15.75" customHeight="1">
      <c r="N535" s="30"/>
      <c r="AB535" s="30"/>
      <c r="AP535" s="30"/>
      <c r="BD535" s="30"/>
    </row>
    <row r="536" ht="15.75" customHeight="1">
      <c r="N536" s="30"/>
      <c r="AB536" s="30"/>
      <c r="AP536" s="30"/>
      <c r="BD536" s="30"/>
    </row>
    <row r="537" ht="15.75" customHeight="1">
      <c r="N537" s="30"/>
      <c r="AB537" s="30"/>
      <c r="AP537" s="30"/>
      <c r="BD537" s="30"/>
    </row>
    <row r="538" ht="15.75" customHeight="1">
      <c r="N538" s="30"/>
      <c r="AB538" s="30"/>
      <c r="AP538" s="30"/>
      <c r="BD538" s="30"/>
    </row>
    <row r="539" ht="15.75" customHeight="1">
      <c r="N539" s="30"/>
      <c r="AB539" s="30"/>
      <c r="AP539" s="30"/>
      <c r="BD539" s="30"/>
    </row>
    <row r="540" ht="15.75" customHeight="1">
      <c r="N540" s="30"/>
      <c r="AB540" s="30"/>
      <c r="AP540" s="30"/>
      <c r="BD540" s="30"/>
    </row>
    <row r="541" ht="15.75" customHeight="1">
      <c r="N541" s="30"/>
      <c r="AB541" s="30"/>
      <c r="AP541" s="30"/>
      <c r="BD541" s="30"/>
    </row>
    <row r="542" ht="15.75" customHeight="1">
      <c r="N542" s="30"/>
      <c r="AB542" s="30"/>
      <c r="AP542" s="30"/>
      <c r="BD542" s="30"/>
    </row>
    <row r="543" ht="15.75" customHeight="1">
      <c r="N543" s="30"/>
      <c r="AB543" s="30"/>
      <c r="AP543" s="30"/>
      <c r="BD543" s="30"/>
    </row>
    <row r="544" ht="15.75" customHeight="1">
      <c r="N544" s="30"/>
      <c r="AB544" s="30"/>
      <c r="AP544" s="30"/>
      <c r="BD544" s="30"/>
    </row>
    <row r="545" ht="15.75" customHeight="1">
      <c r="N545" s="30"/>
      <c r="AB545" s="30"/>
      <c r="AP545" s="30"/>
      <c r="BD545" s="30"/>
    </row>
    <row r="546" ht="15.75" customHeight="1">
      <c r="N546" s="30"/>
      <c r="AB546" s="30"/>
      <c r="AP546" s="30"/>
      <c r="BD546" s="30"/>
    </row>
    <row r="547" ht="15.75" customHeight="1">
      <c r="N547" s="30"/>
      <c r="AB547" s="30"/>
      <c r="AP547" s="30"/>
      <c r="BD547" s="30"/>
    </row>
    <row r="548" ht="15.75" customHeight="1">
      <c r="N548" s="30"/>
      <c r="AB548" s="30"/>
      <c r="AP548" s="30"/>
      <c r="BD548" s="30"/>
    </row>
    <row r="549" ht="15.75" customHeight="1">
      <c r="N549" s="30"/>
      <c r="AB549" s="30"/>
      <c r="AP549" s="30"/>
      <c r="BD549" s="30"/>
    </row>
    <row r="550" ht="15.75" customHeight="1">
      <c r="N550" s="30"/>
      <c r="AB550" s="30"/>
      <c r="AP550" s="30"/>
      <c r="BD550" s="30"/>
    </row>
    <row r="551" ht="15.75" customHeight="1">
      <c r="N551" s="30"/>
      <c r="AB551" s="30"/>
      <c r="AP551" s="30"/>
      <c r="BD551" s="30"/>
    </row>
    <row r="552" ht="15.75" customHeight="1">
      <c r="N552" s="30"/>
      <c r="AB552" s="30"/>
      <c r="AP552" s="30"/>
      <c r="BD552" s="30"/>
    </row>
    <row r="553" ht="15.75" customHeight="1">
      <c r="N553" s="30"/>
      <c r="AB553" s="30"/>
      <c r="AP553" s="30"/>
      <c r="BD553" s="30"/>
    </row>
    <row r="554" ht="15.75" customHeight="1">
      <c r="N554" s="30"/>
      <c r="AB554" s="30"/>
      <c r="AP554" s="30"/>
      <c r="BD554" s="30"/>
    </row>
    <row r="555" ht="15.75" customHeight="1">
      <c r="N555" s="30"/>
      <c r="AB555" s="30"/>
      <c r="AP555" s="30"/>
      <c r="BD555" s="30"/>
    </row>
    <row r="556" ht="15.75" customHeight="1">
      <c r="N556" s="30"/>
      <c r="AB556" s="30"/>
      <c r="AP556" s="30"/>
      <c r="BD556" s="30"/>
    </row>
    <row r="557" ht="15.75" customHeight="1">
      <c r="N557" s="30"/>
      <c r="AB557" s="30"/>
      <c r="AP557" s="30"/>
      <c r="BD557" s="30"/>
    </row>
    <row r="558" ht="15.75" customHeight="1">
      <c r="N558" s="30"/>
      <c r="AB558" s="30"/>
      <c r="AP558" s="30"/>
      <c r="BD558" s="30"/>
    </row>
    <row r="559" ht="15.75" customHeight="1">
      <c r="N559" s="30"/>
      <c r="AB559" s="30"/>
      <c r="AP559" s="30"/>
      <c r="BD559" s="30"/>
    </row>
    <row r="560" ht="15.75" customHeight="1">
      <c r="N560" s="30"/>
      <c r="AB560" s="30"/>
      <c r="AP560" s="30"/>
      <c r="BD560" s="30"/>
    </row>
    <row r="561" ht="15.75" customHeight="1">
      <c r="N561" s="30"/>
      <c r="AB561" s="30"/>
      <c r="AP561" s="30"/>
      <c r="BD561" s="30"/>
    </row>
    <row r="562" ht="15.75" customHeight="1">
      <c r="N562" s="30"/>
      <c r="AB562" s="30"/>
      <c r="AP562" s="30"/>
      <c r="BD562" s="30"/>
    </row>
    <row r="563" ht="15.75" customHeight="1">
      <c r="N563" s="30"/>
      <c r="AB563" s="30"/>
      <c r="AP563" s="30"/>
      <c r="BD563" s="30"/>
    </row>
    <row r="564" ht="15.75" customHeight="1">
      <c r="N564" s="30"/>
      <c r="AB564" s="30"/>
      <c r="AP564" s="30"/>
      <c r="BD564" s="30"/>
    </row>
    <row r="565" ht="15.75" customHeight="1">
      <c r="N565" s="30"/>
      <c r="AB565" s="30"/>
      <c r="AP565" s="30"/>
      <c r="BD565" s="30"/>
    </row>
    <row r="566" ht="15.75" customHeight="1">
      <c r="N566" s="30"/>
      <c r="AB566" s="30"/>
      <c r="AP566" s="30"/>
      <c r="BD566" s="30"/>
    </row>
    <row r="567" ht="15.75" customHeight="1">
      <c r="N567" s="30"/>
      <c r="AB567" s="30"/>
      <c r="AP567" s="30"/>
      <c r="BD567" s="30"/>
    </row>
    <row r="568" ht="15.75" customHeight="1">
      <c r="N568" s="30"/>
      <c r="AB568" s="30"/>
      <c r="AP568" s="30"/>
      <c r="BD568" s="30"/>
    </row>
    <row r="569" ht="15.75" customHeight="1">
      <c r="N569" s="30"/>
      <c r="AB569" s="30"/>
      <c r="AP569" s="30"/>
      <c r="BD569" s="30"/>
    </row>
    <row r="570" ht="15.75" customHeight="1">
      <c r="N570" s="30"/>
      <c r="AB570" s="30"/>
      <c r="AP570" s="30"/>
      <c r="BD570" s="30"/>
    </row>
    <row r="571" ht="15.75" customHeight="1">
      <c r="N571" s="30"/>
      <c r="AB571" s="30"/>
      <c r="AP571" s="30"/>
      <c r="BD571" s="30"/>
    </row>
    <row r="572" ht="15.75" customHeight="1">
      <c r="N572" s="30"/>
      <c r="AB572" s="30"/>
      <c r="AP572" s="30"/>
      <c r="BD572" s="30"/>
    </row>
    <row r="573" ht="15.75" customHeight="1">
      <c r="N573" s="30"/>
      <c r="AB573" s="30"/>
      <c r="AP573" s="30"/>
      <c r="BD573" s="30"/>
    </row>
    <row r="574" ht="15.75" customHeight="1">
      <c r="N574" s="30"/>
      <c r="AB574" s="30"/>
      <c r="AP574" s="30"/>
      <c r="BD574" s="30"/>
    </row>
    <row r="575" ht="15.75" customHeight="1">
      <c r="N575" s="30"/>
      <c r="AB575" s="30"/>
      <c r="AP575" s="30"/>
      <c r="BD575" s="30"/>
    </row>
    <row r="576" ht="15.75" customHeight="1">
      <c r="N576" s="30"/>
      <c r="AB576" s="30"/>
      <c r="AP576" s="30"/>
      <c r="BD576" s="30"/>
    </row>
    <row r="577" ht="15.75" customHeight="1">
      <c r="N577" s="30"/>
      <c r="AB577" s="30"/>
      <c r="AP577" s="30"/>
      <c r="BD577" s="30"/>
    </row>
    <row r="578" ht="15.75" customHeight="1">
      <c r="N578" s="30"/>
      <c r="AB578" s="30"/>
      <c r="AP578" s="30"/>
      <c r="BD578" s="30"/>
    </row>
    <row r="579" ht="15.75" customHeight="1">
      <c r="N579" s="30"/>
      <c r="AB579" s="30"/>
      <c r="AP579" s="30"/>
      <c r="BD579" s="30"/>
    </row>
    <row r="580" ht="15.75" customHeight="1">
      <c r="N580" s="30"/>
      <c r="AB580" s="30"/>
      <c r="AP580" s="30"/>
      <c r="BD580" s="30"/>
    </row>
    <row r="581" ht="15.75" customHeight="1">
      <c r="N581" s="30"/>
      <c r="AB581" s="30"/>
      <c r="AP581" s="30"/>
      <c r="BD581" s="30"/>
    </row>
    <row r="582" ht="15.75" customHeight="1">
      <c r="N582" s="30"/>
      <c r="AB582" s="30"/>
      <c r="AP582" s="30"/>
      <c r="BD582" s="30"/>
    </row>
    <row r="583" ht="15.75" customHeight="1">
      <c r="N583" s="30"/>
      <c r="AB583" s="30"/>
      <c r="AP583" s="30"/>
      <c r="BD583" s="30"/>
    </row>
    <row r="584" ht="15.75" customHeight="1">
      <c r="N584" s="30"/>
      <c r="AB584" s="30"/>
      <c r="AP584" s="30"/>
      <c r="BD584" s="30"/>
    </row>
    <row r="585" ht="15.75" customHeight="1">
      <c r="N585" s="30"/>
      <c r="AB585" s="30"/>
      <c r="AP585" s="30"/>
      <c r="BD585" s="30"/>
    </row>
    <row r="586" ht="15.75" customHeight="1">
      <c r="N586" s="30"/>
      <c r="AB586" s="30"/>
      <c r="AP586" s="30"/>
      <c r="BD586" s="30"/>
    </row>
    <row r="587" ht="15.75" customHeight="1">
      <c r="N587" s="30"/>
      <c r="AB587" s="30"/>
      <c r="AP587" s="30"/>
      <c r="BD587" s="30"/>
    </row>
    <row r="588" ht="15.75" customHeight="1">
      <c r="N588" s="30"/>
      <c r="AB588" s="30"/>
      <c r="AP588" s="30"/>
      <c r="BD588" s="30"/>
    </row>
    <row r="589" ht="15.75" customHeight="1">
      <c r="N589" s="30"/>
      <c r="AB589" s="30"/>
      <c r="AP589" s="30"/>
      <c r="BD589" s="30"/>
    </row>
    <row r="590" ht="15.75" customHeight="1">
      <c r="N590" s="30"/>
      <c r="AB590" s="30"/>
      <c r="AP590" s="30"/>
      <c r="BD590" s="30"/>
    </row>
    <row r="591" ht="15.75" customHeight="1">
      <c r="N591" s="30"/>
      <c r="AB591" s="30"/>
      <c r="AP591" s="30"/>
      <c r="BD591" s="30"/>
    </row>
    <row r="592" ht="15.75" customHeight="1">
      <c r="N592" s="30"/>
      <c r="AB592" s="30"/>
      <c r="AP592" s="30"/>
      <c r="BD592" s="30"/>
    </row>
    <row r="593" ht="15.75" customHeight="1">
      <c r="N593" s="30"/>
      <c r="AB593" s="30"/>
      <c r="AP593" s="30"/>
      <c r="BD593" s="30"/>
    </row>
    <row r="594" ht="15.75" customHeight="1">
      <c r="N594" s="30"/>
      <c r="AB594" s="30"/>
      <c r="AP594" s="30"/>
      <c r="BD594" s="30"/>
    </row>
    <row r="595" ht="15.75" customHeight="1">
      <c r="N595" s="30"/>
      <c r="AB595" s="30"/>
      <c r="AP595" s="30"/>
      <c r="BD595" s="30"/>
    </row>
    <row r="596" ht="15.75" customHeight="1">
      <c r="N596" s="30"/>
      <c r="AB596" s="30"/>
      <c r="AP596" s="30"/>
      <c r="BD596" s="30"/>
    </row>
    <row r="597" ht="15.75" customHeight="1">
      <c r="N597" s="30"/>
      <c r="AB597" s="30"/>
      <c r="AP597" s="30"/>
      <c r="BD597" s="30"/>
    </row>
    <row r="598" ht="15.75" customHeight="1">
      <c r="N598" s="30"/>
      <c r="AB598" s="30"/>
      <c r="AP598" s="30"/>
      <c r="BD598" s="30"/>
    </row>
    <row r="599" ht="15.75" customHeight="1">
      <c r="N599" s="30"/>
      <c r="AB599" s="30"/>
      <c r="AP599" s="30"/>
      <c r="BD599" s="30"/>
    </row>
    <row r="600" ht="15.75" customHeight="1">
      <c r="N600" s="30"/>
      <c r="AB600" s="30"/>
      <c r="AP600" s="30"/>
      <c r="BD600" s="30"/>
    </row>
    <row r="601" ht="15.75" customHeight="1">
      <c r="N601" s="30"/>
      <c r="AB601" s="30"/>
      <c r="AP601" s="30"/>
      <c r="BD601" s="30"/>
    </row>
    <row r="602" ht="15.75" customHeight="1">
      <c r="N602" s="30"/>
      <c r="AB602" s="30"/>
      <c r="AP602" s="30"/>
      <c r="BD602" s="30"/>
    </row>
    <row r="603" ht="15.75" customHeight="1">
      <c r="N603" s="30"/>
      <c r="AB603" s="30"/>
      <c r="AP603" s="30"/>
      <c r="BD603" s="30"/>
    </row>
    <row r="604" ht="15.75" customHeight="1">
      <c r="N604" s="30"/>
      <c r="AB604" s="30"/>
      <c r="AP604" s="30"/>
      <c r="BD604" s="30"/>
    </row>
    <row r="605" ht="15.75" customHeight="1">
      <c r="N605" s="30"/>
      <c r="AB605" s="30"/>
      <c r="AP605" s="30"/>
      <c r="BD605" s="30"/>
    </row>
    <row r="606" ht="15.75" customHeight="1">
      <c r="N606" s="30"/>
      <c r="AB606" s="30"/>
      <c r="AP606" s="30"/>
      <c r="BD606" s="30"/>
    </row>
    <row r="607" ht="15.75" customHeight="1">
      <c r="N607" s="30"/>
      <c r="AB607" s="30"/>
      <c r="AP607" s="30"/>
      <c r="BD607" s="30"/>
    </row>
    <row r="608" ht="15.75" customHeight="1">
      <c r="N608" s="30"/>
      <c r="AB608" s="30"/>
      <c r="AP608" s="30"/>
      <c r="BD608" s="30"/>
    </row>
    <row r="609" ht="15.75" customHeight="1">
      <c r="N609" s="30"/>
      <c r="AB609" s="30"/>
      <c r="AP609" s="30"/>
      <c r="BD609" s="30"/>
    </row>
    <row r="610" ht="15.75" customHeight="1">
      <c r="N610" s="30"/>
      <c r="AB610" s="30"/>
      <c r="AP610" s="30"/>
      <c r="BD610" s="30"/>
    </row>
    <row r="611" ht="15.75" customHeight="1">
      <c r="N611" s="30"/>
      <c r="AB611" s="30"/>
      <c r="AP611" s="30"/>
      <c r="BD611" s="30"/>
    </row>
    <row r="612" ht="15.75" customHeight="1">
      <c r="N612" s="30"/>
      <c r="AB612" s="30"/>
      <c r="AP612" s="30"/>
      <c r="BD612" s="30"/>
    </row>
    <row r="613" ht="15.75" customHeight="1">
      <c r="N613" s="30"/>
      <c r="AB613" s="30"/>
      <c r="AP613" s="30"/>
      <c r="BD613" s="30"/>
    </row>
    <row r="614" ht="15.75" customHeight="1">
      <c r="N614" s="30"/>
      <c r="AB614" s="30"/>
      <c r="AP614" s="30"/>
      <c r="BD614" s="30"/>
    </row>
    <row r="615" ht="15.75" customHeight="1">
      <c r="N615" s="30"/>
      <c r="AB615" s="30"/>
      <c r="AP615" s="30"/>
      <c r="BD615" s="30"/>
    </row>
    <row r="616" ht="15.75" customHeight="1">
      <c r="N616" s="30"/>
      <c r="AB616" s="30"/>
      <c r="AP616" s="30"/>
      <c r="BD616" s="30"/>
    </row>
    <row r="617" ht="15.75" customHeight="1">
      <c r="N617" s="30"/>
      <c r="AB617" s="30"/>
      <c r="AP617" s="30"/>
      <c r="BD617" s="30"/>
    </row>
    <row r="618" ht="15.75" customHeight="1">
      <c r="N618" s="30"/>
      <c r="AB618" s="30"/>
      <c r="AP618" s="30"/>
      <c r="BD618" s="30"/>
    </row>
    <row r="619" ht="15.75" customHeight="1">
      <c r="N619" s="30"/>
      <c r="AB619" s="30"/>
      <c r="AP619" s="30"/>
      <c r="BD619" s="30"/>
    </row>
    <row r="620" ht="15.75" customHeight="1">
      <c r="N620" s="30"/>
      <c r="AB620" s="30"/>
      <c r="AP620" s="30"/>
      <c r="BD620" s="30"/>
    </row>
    <row r="621" ht="15.75" customHeight="1">
      <c r="N621" s="30"/>
      <c r="AB621" s="30"/>
      <c r="AP621" s="30"/>
      <c r="BD621" s="30"/>
    </row>
    <row r="622" ht="15.75" customHeight="1">
      <c r="N622" s="30"/>
      <c r="AB622" s="30"/>
      <c r="AP622" s="30"/>
      <c r="BD622" s="30"/>
    </row>
    <row r="623" ht="15.75" customHeight="1">
      <c r="N623" s="30"/>
      <c r="AB623" s="30"/>
      <c r="AP623" s="30"/>
      <c r="BD623" s="30"/>
    </row>
    <row r="624" ht="15.75" customHeight="1">
      <c r="N624" s="30"/>
      <c r="AB624" s="30"/>
      <c r="AP624" s="30"/>
      <c r="BD624" s="30"/>
    </row>
    <row r="625" ht="15.75" customHeight="1">
      <c r="N625" s="30"/>
      <c r="AB625" s="30"/>
      <c r="AP625" s="30"/>
      <c r="BD625" s="30"/>
    </row>
    <row r="626" ht="15.75" customHeight="1">
      <c r="N626" s="30"/>
      <c r="AB626" s="30"/>
      <c r="AP626" s="30"/>
      <c r="BD626" s="30"/>
    </row>
    <row r="627" ht="15.75" customHeight="1">
      <c r="N627" s="30"/>
      <c r="AB627" s="30"/>
      <c r="AP627" s="30"/>
      <c r="BD627" s="30"/>
    </row>
    <row r="628" ht="15.75" customHeight="1">
      <c r="N628" s="30"/>
      <c r="AB628" s="30"/>
      <c r="AP628" s="30"/>
      <c r="BD628" s="30"/>
    </row>
    <row r="629" ht="15.75" customHeight="1">
      <c r="N629" s="30"/>
      <c r="AB629" s="30"/>
      <c r="AP629" s="30"/>
      <c r="BD629" s="30"/>
    </row>
    <row r="630" ht="15.75" customHeight="1">
      <c r="N630" s="30"/>
      <c r="AB630" s="30"/>
      <c r="AP630" s="30"/>
      <c r="BD630" s="30"/>
    </row>
    <row r="631" ht="15.75" customHeight="1">
      <c r="N631" s="30"/>
      <c r="AB631" s="30"/>
      <c r="AP631" s="30"/>
      <c r="BD631" s="30"/>
    </row>
    <row r="632" ht="15.75" customHeight="1">
      <c r="N632" s="30"/>
      <c r="AB632" s="30"/>
      <c r="AP632" s="30"/>
      <c r="BD632" s="30"/>
    </row>
    <row r="633" ht="15.75" customHeight="1">
      <c r="N633" s="30"/>
      <c r="AB633" s="30"/>
      <c r="AP633" s="30"/>
      <c r="BD633" s="30"/>
    </row>
    <row r="634" ht="15.75" customHeight="1">
      <c r="N634" s="30"/>
      <c r="AB634" s="30"/>
      <c r="AP634" s="30"/>
      <c r="BD634" s="30"/>
    </row>
    <row r="635" ht="15.75" customHeight="1">
      <c r="N635" s="30"/>
      <c r="AB635" s="30"/>
      <c r="AP635" s="30"/>
      <c r="BD635" s="30"/>
    </row>
    <row r="636" ht="15.75" customHeight="1">
      <c r="N636" s="30"/>
      <c r="AB636" s="30"/>
      <c r="AP636" s="30"/>
      <c r="BD636" s="30"/>
    </row>
    <row r="637" ht="15.75" customHeight="1">
      <c r="N637" s="30"/>
      <c r="AB637" s="30"/>
      <c r="AP637" s="30"/>
      <c r="BD637" s="30"/>
    </row>
    <row r="638" ht="15.75" customHeight="1">
      <c r="N638" s="30"/>
      <c r="AB638" s="30"/>
      <c r="AP638" s="30"/>
      <c r="BD638" s="30"/>
    </row>
    <row r="639" ht="15.75" customHeight="1">
      <c r="N639" s="30"/>
      <c r="AB639" s="30"/>
      <c r="AP639" s="30"/>
      <c r="BD639" s="30"/>
    </row>
    <row r="640" ht="15.75" customHeight="1">
      <c r="N640" s="30"/>
      <c r="AB640" s="30"/>
      <c r="AP640" s="30"/>
      <c r="BD640" s="30"/>
    </row>
    <row r="641" ht="15.75" customHeight="1">
      <c r="N641" s="30"/>
      <c r="AB641" s="30"/>
      <c r="AP641" s="30"/>
      <c r="BD641" s="30"/>
    </row>
    <row r="642" ht="15.75" customHeight="1">
      <c r="N642" s="30"/>
      <c r="AB642" s="30"/>
      <c r="AP642" s="30"/>
      <c r="BD642" s="30"/>
    </row>
    <row r="643" ht="15.75" customHeight="1">
      <c r="N643" s="30"/>
      <c r="AB643" s="30"/>
      <c r="AP643" s="30"/>
      <c r="BD643" s="30"/>
    </row>
    <row r="644" ht="15.75" customHeight="1">
      <c r="N644" s="30"/>
      <c r="AB644" s="30"/>
      <c r="AP644" s="30"/>
      <c r="BD644" s="30"/>
    </row>
    <row r="645" ht="15.75" customHeight="1">
      <c r="N645" s="30"/>
      <c r="AB645" s="30"/>
      <c r="AP645" s="30"/>
      <c r="BD645" s="30"/>
    </row>
    <row r="646" ht="15.75" customHeight="1">
      <c r="N646" s="30"/>
      <c r="AB646" s="30"/>
      <c r="AP646" s="30"/>
      <c r="BD646" s="30"/>
    </row>
    <row r="647" ht="15.75" customHeight="1">
      <c r="N647" s="30"/>
      <c r="AB647" s="30"/>
      <c r="AP647" s="30"/>
      <c r="BD647" s="30"/>
    </row>
    <row r="648" ht="15.75" customHeight="1">
      <c r="N648" s="30"/>
      <c r="AB648" s="30"/>
      <c r="AP648" s="30"/>
      <c r="BD648" s="30"/>
    </row>
    <row r="649" ht="15.75" customHeight="1">
      <c r="N649" s="30"/>
      <c r="AB649" s="30"/>
      <c r="AP649" s="30"/>
      <c r="BD649" s="30"/>
    </row>
    <row r="650" ht="15.75" customHeight="1">
      <c r="N650" s="30"/>
      <c r="AB650" s="30"/>
      <c r="AP650" s="30"/>
      <c r="BD650" s="30"/>
    </row>
    <row r="651" ht="15.75" customHeight="1">
      <c r="N651" s="30"/>
      <c r="AB651" s="30"/>
      <c r="AP651" s="30"/>
      <c r="BD651" s="30"/>
    </row>
    <row r="652" ht="15.75" customHeight="1">
      <c r="N652" s="30"/>
      <c r="AB652" s="30"/>
      <c r="AP652" s="30"/>
      <c r="BD652" s="30"/>
    </row>
    <row r="653" ht="15.75" customHeight="1">
      <c r="N653" s="30"/>
      <c r="AB653" s="30"/>
      <c r="AP653" s="30"/>
      <c r="BD653" s="30"/>
    </row>
    <row r="654" ht="15.75" customHeight="1">
      <c r="N654" s="30"/>
      <c r="AB654" s="30"/>
      <c r="AP654" s="30"/>
      <c r="BD654" s="30"/>
    </row>
    <row r="655" ht="15.75" customHeight="1">
      <c r="N655" s="30"/>
      <c r="AB655" s="30"/>
      <c r="AP655" s="30"/>
      <c r="BD655" s="30"/>
    </row>
    <row r="656" ht="15.75" customHeight="1">
      <c r="N656" s="30"/>
      <c r="AB656" s="30"/>
      <c r="AP656" s="30"/>
      <c r="BD656" s="30"/>
    </row>
    <row r="657" ht="15.75" customHeight="1">
      <c r="N657" s="30"/>
      <c r="AB657" s="30"/>
      <c r="AP657" s="30"/>
      <c r="BD657" s="30"/>
    </row>
    <row r="658" ht="15.75" customHeight="1">
      <c r="N658" s="30"/>
      <c r="AB658" s="30"/>
      <c r="AP658" s="30"/>
      <c r="BD658" s="30"/>
    </row>
    <row r="659" ht="15.75" customHeight="1">
      <c r="N659" s="30"/>
      <c r="AB659" s="30"/>
      <c r="AP659" s="30"/>
      <c r="BD659" s="30"/>
    </row>
    <row r="660" ht="15.75" customHeight="1">
      <c r="N660" s="30"/>
      <c r="AB660" s="30"/>
      <c r="AP660" s="30"/>
      <c r="BD660" s="30"/>
    </row>
    <row r="661" ht="15.75" customHeight="1">
      <c r="N661" s="30"/>
      <c r="AB661" s="30"/>
      <c r="AP661" s="30"/>
      <c r="BD661" s="30"/>
    </row>
    <row r="662" ht="15.75" customHeight="1">
      <c r="N662" s="30"/>
      <c r="AB662" s="30"/>
      <c r="AP662" s="30"/>
      <c r="BD662" s="30"/>
    </row>
    <row r="663" ht="15.75" customHeight="1">
      <c r="N663" s="30"/>
      <c r="AB663" s="30"/>
      <c r="AP663" s="30"/>
      <c r="BD663" s="30"/>
    </row>
    <row r="664" ht="15.75" customHeight="1">
      <c r="N664" s="30"/>
      <c r="AB664" s="30"/>
      <c r="AP664" s="30"/>
      <c r="BD664" s="30"/>
    </row>
    <row r="665" ht="15.75" customHeight="1">
      <c r="N665" s="30"/>
      <c r="AB665" s="30"/>
      <c r="AP665" s="30"/>
      <c r="BD665" s="30"/>
    </row>
    <row r="666" ht="15.75" customHeight="1">
      <c r="N666" s="30"/>
      <c r="AB666" s="30"/>
      <c r="AP666" s="30"/>
      <c r="BD666" s="30"/>
    </row>
    <row r="667" ht="15.75" customHeight="1">
      <c r="N667" s="30"/>
      <c r="AB667" s="30"/>
      <c r="AP667" s="30"/>
      <c r="BD667" s="30"/>
    </row>
    <row r="668" ht="15.75" customHeight="1">
      <c r="N668" s="30"/>
      <c r="AB668" s="30"/>
      <c r="AP668" s="30"/>
      <c r="BD668" s="30"/>
    </row>
    <row r="669" ht="15.75" customHeight="1">
      <c r="N669" s="30"/>
      <c r="AB669" s="30"/>
      <c r="AP669" s="30"/>
      <c r="BD669" s="30"/>
    </row>
    <row r="670" ht="15.75" customHeight="1">
      <c r="N670" s="30"/>
      <c r="AB670" s="30"/>
      <c r="AP670" s="30"/>
      <c r="BD670" s="30"/>
    </row>
    <row r="671" ht="15.75" customHeight="1">
      <c r="N671" s="30"/>
      <c r="AB671" s="30"/>
      <c r="AP671" s="30"/>
      <c r="BD671" s="30"/>
    </row>
    <row r="672" ht="15.75" customHeight="1">
      <c r="N672" s="30"/>
      <c r="AB672" s="30"/>
      <c r="AP672" s="30"/>
      <c r="BD672" s="30"/>
    </row>
    <row r="673" ht="15.75" customHeight="1">
      <c r="N673" s="30"/>
      <c r="AB673" s="30"/>
      <c r="AP673" s="30"/>
      <c r="BD673" s="30"/>
    </row>
    <row r="674" ht="15.75" customHeight="1">
      <c r="N674" s="30"/>
      <c r="AB674" s="30"/>
      <c r="AP674" s="30"/>
      <c r="BD674" s="30"/>
    </row>
    <row r="675" ht="15.75" customHeight="1">
      <c r="N675" s="30"/>
      <c r="AB675" s="30"/>
      <c r="AP675" s="30"/>
      <c r="BD675" s="30"/>
    </row>
    <row r="676" ht="15.75" customHeight="1">
      <c r="N676" s="30"/>
      <c r="AB676" s="30"/>
      <c r="AP676" s="30"/>
      <c r="BD676" s="30"/>
    </row>
    <row r="677" ht="15.75" customHeight="1">
      <c r="N677" s="30"/>
      <c r="AB677" s="30"/>
      <c r="AP677" s="30"/>
      <c r="BD677" s="30"/>
    </row>
    <row r="678" ht="15.75" customHeight="1">
      <c r="N678" s="30"/>
      <c r="AB678" s="30"/>
      <c r="AP678" s="30"/>
      <c r="BD678" s="30"/>
    </row>
    <row r="679" ht="15.75" customHeight="1">
      <c r="N679" s="30"/>
      <c r="AB679" s="30"/>
      <c r="AP679" s="30"/>
      <c r="BD679" s="30"/>
    </row>
    <row r="680" ht="15.75" customHeight="1">
      <c r="N680" s="30"/>
      <c r="AB680" s="30"/>
      <c r="AP680" s="30"/>
      <c r="BD680" s="30"/>
    </row>
    <row r="681" ht="15.75" customHeight="1">
      <c r="N681" s="30"/>
      <c r="AB681" s="30"/>
      <c r="AP681" s="30"/>
      <c r="BD681" s="30"/>
    </row>
    <row r="682" ht="15.75" customHeight="1">
      <c r="N682" s="30"/>
      <c r="AB682" s="30"/>
      <c r="AP682" s="30"/>
      <c r="BD682" s="30"/>
    </row>
    <row r="683" ht="15.75" customHeight="1">
      <c r="N683" s="30"/>
      <c r="AB683" s="30"/>
      <c r="AP683" s="30"/>
      <c r="BD683" s="30"/>
    </row>
    <row r="684" ht="15.75" customHeight="1">
      <c r="N684" s="30"/>
      <c r="AB684" s="30"/>
      <c r="AP684" s="30"/>
      <c r="BD684" s="30"/>
    </row>
    <row r="685" ht="15.75" customHeight="1">
      <c r="N685" s="30"/>
      <c r="AB685" s="30"/>
      <c r="AP685" s="30"/>
      <c r="BD685" s="30"/>
    </row>
    <row r="686" ht="15.75" customHeight="1">
      <c r="N686" s="30"/>
      <c r="AB686" s="30"/>
      <c r="AP686" s="30"/>
      <c r="BD686" s="30"/>
    </row>
    <row r="687" ht="15.75" customHeight="1">
      <c r="N687" s="30"/>
      <c r="AB687" s="30"/>
      <c r="AP687" s="30"/>
      <c r="BD687" s="30"/>
    </row>
    <row r="688" ht="15.75" customHeight="1">
      <c r="N688" s="30"/>
      <c r="AB688" s="30"/>
      <c r="AP688" s="30"/>
      <c r="BD688" s="30"/>
    </row>
    <row r="689" ht="15.75" customHeight="1">
      <c r="N689" s="30"/>
      <c r="AB689" s="30"/>
      <c r="AP689" s="30"/>
      <c r="BD689" s="30"/>
    </row>
    <row r="690" ht="15.75" customHeight="1">
      <c r="N690" s="30"/>
      <c r="AB690" s="30"/>
      <c r="AP690" s="30"/>
      <c r="BD690" s="30"/>
    </row>
    <row r="691" ht="15.75" customHeight="1">
      <c r="N691" s="30"/>
      <c r="AB691" s="30"/>
      <c r="AP691" s="30"/>
      <c r="BD691" s="30"/>
    </row>
    <row r="692" ht="15.75" customHeight="1">
      <c r="N692" s="30"/>
      <c r="AB692" s="30"/>
      <c r="AP692" s="30"/>
      <c r="BD692" s="30"/>
    </row>
    <row r="693" ht="15.75" customHeight="1">
      <c r="N693" s="30"/>
      <c r="AB693" s="30"/>
      <c r="AP693" s="30"/>
      <c r="BD693" s="30"/>
    </row>
    <row r="694" ht="15.75" customHeight="1">
      <c r="N694" s="30"/>
      <c r="AB694" s="30"/>
      <c r="AP694" s="30"/>
      <c r="BD694" s="30"/>
    </row>
    <row r="695" ht="15.75" customHeight="1">
      <c r="N695" s="30"/>
      <c r="AB695" s="30"/>
      <c r="AP695" s="30"/>
      <c r="BD695" s="30"/>
    </row>
    <row r="696" ht="15.75" customHeight="1">
      <c r="N696" s="30"/>
      <c r="AB696" s="30"/>
      <c r="AP696" s="30"/>
      <c r="BD696" s="30"/>
    </row>
    <row r="697" ht="15.75" customHeight="1">
      <c r="N697" s="30"/>
      <c r="AB697" s="30"/>
      <c r="AP697" s="30"/>
      <c r="BD697" s="30"/>
    </row>
    <row r="698" ht="15.75" customHeight="1">
      <c r="N698" s="30"/>
      <c r="AB698" s="30"/>
      <c r="AP698" s="30"/>
      <c r="BD698" s="30"/>
    </row>
    <row r="699" ht="15.75" customHeight="1">
      <c r="N699" s="30"/>
      <c r="AB699" s="30"/>
      <c r="AP699" s="30"/>
      <c r="BD699" s="30"/>
    </row>
    <row r="700" ht="15.75" customHeight="1">
      <c r="N700" s="30"/>
      <c r="AB700" s="30"/>
      <c r="AP700" s="30"/>
      <c r="BD700" s="30"/>
    </row>
    <row r="701" ht="15.75" customHeight="1">
      <c r="N701" s="30"/>
      <c r="AB701" s="30"/>
      <c r="AP701" s="30"/>
      <c r="BD701" s="30"/>
    </row>
    <row r="702" ht="15.75" customHeight="1">
      <c r="N702" s="30"/>
      <c r="AB702" s="30"/>
      <c r="AP702" s="30"/>
      <c r="BD702" s="30"/>
    </row>
    <row r="703" ht="15.75" customHeight="1">
      <c r="N703" s="30"/>
      <c r="AB703" s="30"/>
      <c r="AP703" s="30"/>
      <c r="BD703" s="30"/>
    </row>
    <row r="704" ht="15.75" customHeight="1">
      <c r="N704" s="30"/>
      <c r="AB704" s="30"/>
      <c r="AP704" s="30"/>
      <c r="BD704" s="30"/>
    </row>
    <row r="705" ht="15.75" customHeight="1">
      <c r="N705" s="30"/>
      <c r="AB705" s="30"/>
      <c r="AP705" s="30"/>
      <c r="BD705" s="30"/>
    </row>
    <row r="706" ht="15.75" customHeight="1">
      <c r="N706" s="30"/>
      <c r="AB706" s="30"/>
      <c r="AP706" s="30"/>
      <c r="BD706" s="30"/>
    </row>
    <row r="707" ht="15.75" customHeight="1">
      <c r="N707" s="30"/>
      <c r="AB707" s="30"/>
      <c r="AP707" s="30"/>
      <c r="BD707" s="30"/>
    </row>
    <row r="708" ht="15.75" customHeight="1">
      <c r="N708" s="30"/>
      <c r="AB708" s="30"/>
      <c r="AP708" s="30"/>
      <c r="BD708" s="30"/>
    </row>
    <row r="709" ht="15.75" customHeight="1">
      <c r="N709" s="30"/>
      <c r="AB709" s="30"/>
      <c r="AP709" s="30"/>
      <c r="BD709" s="30"/>
    </row>
    <row r="710" ht="15.75" customHeight="1">
      <c r="N710" s="30"/>
      <c r="AB710" s="30"/>
      <c r="AP710" s="30"/>
      <c r="BD710" s="30"/>
    </row>
    <row r="711" ht="15.75" customHeight="1">
      <c r="N711" s="30"/>
      <c r="AB711" s="30"/>
      <c r="AP711" s="30"/>
      <c r="BD711" s="30"/>
    </row>
    <row r="712" ht="15.75" customHeight="1">
      <c r="N712" s="30"/>
      <c r="AB712" s="30"/>
      <c r="AP712" s="30"/>
      <c r="BD712" s="30"/>
    </row>
    <row r="713" ht="15.75" customHeight="1">
      <c r="N713" s="30"/>
      <c r="AB713" s="30"/>
      <c r="AP713" s="30"/>
      <c r="BD713" s="30"/>
    </row>
    <row r="714" ht="15.75" customHeight="1">
      <c r="N714" s="30"/>
      <c r="AB714" s="30"/>
      <c r="AP714" s="30"/>
      <c r="BD714" s="30"/>
    </row>
    <row r="715" ht="15.75" customHeight="1">
      <c r="N715" s="30"/>
      <c r="AB715" s="30"/>
      <c r="AP715" s="30"/>
      <c r="BD715" s="30"/>
    </row>
    <row r="716" ht="15.75" customHeight="1">
      <c r="N716" s="30"/>
      <c r="AB716" s="30"/>
      <c r="AP716" s="30"/>
      <c r="BD716" s="30"/>
    </row>
    <row r="717" ht="15.75" customHeight="1">
      <c r="N717" s="30"/>
      <c r="AB717" s="30"/>
      <c r="AP717" s="30"/>
      <c r="BD717" s="30"/>
    </row>
    <row r="718" ht="15.75" customHeight="1">
      <c r="N718" s="30"/>
      <c r="AB718" s="30"/>
      <c r="AP718" s="30"/>
      <c r="BD718" s="30"/>
    </row>
    <row r="719" ht="15.75" customHeight="1">
      <c r="N719" s="30"/>
      <c r="AB719" s="30"/>
      <c r="AP719" s="30"/>
      <c r="BD719" s="30"/>
    </row>
    <row r="720" ht="15.75" customHeight="1">
      <c r="N720" s="30"/>
      <c r="AB720" s="30"/>
      <c r="AP720" s="30"/>
      <c r="BD720" s="30"/>
    </row>
    <row r="721" ht="15.75" customHeight="1">
      <c r="N721" s="30"/>
      <c r="AB721" s="30"/>
      <c r="AP721" s="30"/>
      <c r="BD721" s="30"/>
    </row>
    <row r="722" ht="15.75" customHeight="1">
      <c r="N722" s="30"/>
      <c r="AB722" s="30"/>
      <c r="AP722" s="30"/>
      <c r="BD722" s="30"/>
    </row>
    <row r="723" ht="15.75" customHeight="1">
      <c r="N723" s="30"/>
      <c r="AB723" s="30"/>
      <c r="AP723" s="30"/>
      <c r="BD723" s="30"/>
    </row>
    <row r="724" ht="15.75" customHeight="1">
      <c r="N724" s="30"/>
      <c r="AB724" s="30"/>
      <c r="AP724" s="30"/>
      <c r="BD724" s="30"/>
    </row>
    <row r="725" ht="15.75" customHeight="1">
      <c r="N725" s="30"/>
      <c r="AB725" s="30"/>
      <c r="AP725" s="30"/>
      <c r="BD725" s="30"/>
    </row>
    <row r="726" ht="15.75" customHeight="1">
      <c r="N726" s="30"/>
      <c r="AB726" s="30"/>
      <c r="AP726" s="30"/>
      <c r="BD726" s="30"/>
    </row>
    <row r="727" ht="15.75" customHeight="1">
      <c r="N727" s="30"/>
      <c r="AB727" s="30"/>
      <c r="AP727" s="30"/>
      <c r="BD727" s="30"/>
    </row>
    <row r="728" ht="15.75" customHeight="1">
      <c r="N728" s="30"/>
      <c r="AB728" s="30"/>
      <c r="AP728" s="30"/>
      <c r="BD728" s="30"/>
    </row>
    <row r="729" ht="15.75" customHeight="1">
      <c r="N729" s="30"/>
      <c r="AB729" s="30"/>
      <c r="AP729" s="30"/>
      <c r="BD729" s="30"/>
    </row>
    <row r="730" ht="15.75" customHeight="1">
      <c r="N730" s="30"/>
      <c r="AB730" s="30"/>
      <c r="AP730" s="30"/>
      <c r="BD730" s="30"/>
    </row>
    <row r="731" ht="15.75" customHeight="1">
      <c r="N731" s="30"/>
      <c r="AB731" s="30"/>
      <c r="AP731" s="30"/>
      <c r="BD731" s="30"/>
    </row>
    <row r="732" ht="15.75" customHeight="1">
      <c r="N732" s="30"/>
      <c r="AB732" s="30"/>
      <c r="AP732" s="30"/>
      <c r="BD732" s="30"/>
    </row>
    <row r="733" ht="15.75" customHeight="1">
      <c r="N733" s="30"/>
      <c r="AB733" s="30"/>
      <c r="AP733" s="30"/>
      <c r="BD733" s="30"/>
    </row>
    <row r="734" ht="15.75" customHeight="1">
      <c r="N734" s="30"/>
      <c r="AB734" s="30"/>
      <c r="AP734" s="30"/>
      <c r="BD734" s="30"/>
    </row>
    <row r="735" ht="15.75" customHeight="1">
      <c r="N735" s="30"/>
      <c r="AB735" s="30"/>
      <c r="AP735" s="30"/>
      <c r="BD735" s="30"/>
    </row>
    <row r="736" ht="15.75" customHeight="1">
      <c r="N736" s="30"/>
      <c r="AB736" s="30"/>
      <c r="AP736" s="30"/>
      <c r="BD736" s="30"/>
    </row>
    <row r="737" ht="15.75" customHeight="1">
      <c r="N737" s="30"/>
      <c r="AB737" s="30"/>
      <c r="AP737" s="30"/>
      <c r="BD737" s="30"/>
    </row>
    <row r="738" ht="15.75" customHeight="1">
      <c r="N738" s="30"/>
      <c r="AB738" s="30"/>
      <c r="AP738" s="30"/>
      <c r="BD738" s="30"/>
    </row>
    <row r="739" ht="15.75" customHeight="1">
      <c r="N739" s="30"/>
      <c r="AB739" s="30"/>
      <c r="AP739" s="30"/>
      <c r="BD739" s="30"/>
    </row>
    <row r="740" ht="15.75" customHeight="1">
      <c r="N740" s="30"/>
      <c r="AB740" s="30"/>
      <c r="AP740" s="30"/>
      <c r="BD740" s="30"/>
    </row>
    <row r="741" ht="15.75" customHeight="1">
      <c r="N741" s="30"/>
      <c r="AB741" s="30"/>
      <c r="AP741" s="30"/>
      <c r="BD741" s="30"/>
    </row>
    <row r="742" ht="15.75" customHeight="1">
      <c r="N742" s="30"/>
      <c r="AB742" s="30"/>
      <c r="AP742" s="30"/>
      <c r="BD742" s="30"/>
    </row>
    <row r="743" ht="15.75" customHeight="1">
      <c r="N743" s="30"/>
      <c r="AB743" s="30"/>
      <c r="AP743" s="30"/>
      <c r="BD743" s="30"/>
    </row>
    <row r="744" ht="15.75" customHeight="1">
      <c r="N744" s="30"/>
      <c r="AB744" s="30"/>
      <c r="AP744" s="30"/>
      <c r="BD744" s="30"/>
    </row>
    <row r="745" ht="15.75" customHeight="1">
      <c r="N745" s="30"/>
      <c r="AB745" s="30"/>
      <c r="AP745" s="30"/>
      <c r="BD745" s="30"/>
    </row>
    <row r="746" ht="15.75" customHeight="1">
      <c r="N746" s="30"/>
      <c r="AB746" s="30"/>
      <c r="AP746" s="30"/>
      <c r="BD746" s="30"/>
    </row>
    <row r="747" ht="15.75" customHeight="1">
      <c r="N747" s="30"/>
      <c r="AB747" s="30"/>
      <c r="AP747" s="30"/>
      <c r="BD747" s="30"/>
    </row>
    <row r="748" ht="15.75" customHeight="1">
      <c r="N748" s="30"/>
      <c r="AB748" s="30"/>
      <c r="AP748" s="30"/>
      <c r="BD748" s="30"/>
    </row>
    <row r="749" ht="15.75" customHeight="1">
      <c r="N749" s="30"/>
      <c r="AB749" s="30"/>
      <c r="AP749" s="30"/>
      <c r="BD749" s="30"/>
    </row>
    <row r="750" ht="15.75" customHeight="1">
      <c r="N750" s="30"/>
      <c r="AB750" s="30"/>
      <c r="AP750" s="30"/>
      <c r="BD750" s="30"/>
    </row>
    <row r="751" ht="15.75" customHeight="1">
      <c r="N751" s="30"/>
      <c r="AB751" s="30"/>
      <c r="AP751" s="30"/>
      <c r="BD751" s="30"/>
    </row>
    <row r="752" ht="15.75" customHeight="1">
      <c r="N752" s="30"/>
      <c r="AB752" s="30"/>
      <c r="AP752" s="30"/>
      <c r="BD752" s="30"/>
    </row>
    <row r="753" ht="15.75" customHeight="1">
      <c r="N753" s="30"/>
      <c r="AB753" s="30"/>
      <c r="AP753" s="30"/>
      <c r="BD753" s="30"/>
    </row>
    <row r="754" ht="15.75" customHeight="1">
      <c r="N754" s="30"/>
      <c r="AB754" s="30"/>
      <c r="AP754" s="30"/>
      <c r="BD754" s="30"/>
    </row>
    <row r="755" ht="15.75" customHeight="1">
      <c r="N755" s="30"/>
      <c r="AB755" s="30"/>
      <c r="AP755" s="30"/>
      <c r="BD755" s="30"/>
    </row>
    <row r="756" ht="15.75" customHeight="1">
      <c r="N756" s="30"/>
      <c r="AB756" s="30"/>
      <c r="AP756" s="30"/>
      <c r="BD756" s="30"/>
    </row>
    <row r="757" ht="15.75" customHeight="1">
      <c r="N757" s="30"/>
      <c r="AB757" s="30"/>
      <c r="AP757" s="30"/>
      <c r="BD757" s="30"/>
    </row>
    <row r="758" ht="15.75" customHeight="1">
      <c r="N758" s="30"/>
      <c r="AB758" s="30"/>
      <c r="AP758" s="30"/>
      <c r="BD758" s="30"/>
    </row>
    <row r="759" ht="15.75" customHeight="1">
      <c r="N759" s="30"/>
      <c r="AB759" s="30"/>
      <c r="AP759" s="30"/>
      <c r="BD759" s="30"/>
    </row>
    <row r="760" ht="15.75" customHeight="1">
      <c r="N760" s="30"/>
      <c r="AB760" s="30"/>
      <c r="AP760" s="30"/>
      <c r="BD760" s="30"/>
    </row>
    <row r="761" ht="15.75" customHeight="1">
      <c r="N761" s="30"/>
      <c r="AB761" s="30"/>
      <c r="AP761" s="30"/>
      <c r="BD761" s="30"/>
    </row>
    <row r="762" ht="15.75" customHeight="1">
      <c r="N762" s="30"/>
      <c r="AB762" s="30"/>
      <c r="AP762" s="30"/>
      <c r="BD762" s="30"/>
    </row>
    <row r="763" ht="15.75" customHeight="1">
      <c r="N763" s="30"/>
      <c r="AB763" s="30"/>
      <c r="AP763" s="30"/>
      <c r="BD763" s="30"/>
    </row>
    <row r="764" ht="15.75" customHeight="1">
      <c r="N764" s="30"/>
      <c r="AB764" s="30"/>
      <c r="AP764" s="30"/>
      <c r="BD764" s="30"/>
    </row>
    <row r="765" ht="15.75" customHeight="1">
      <c r="N765" s="30"/>
      <c r="AB765" s="30"/>
      <c r="AP765" s="30"/>
      <c r="BD765" s="30"/>
    </row>
    <row r="766" ht="15.75" customHeight="1">
      <c r="N766" s="30"/>
      <c r="AB766" s="30"/>
      <c r="AP766" s="30"/>
      <c r="BD766" s="30"/>
    </row>
    <row r="767" ht="15.75" customHeight="1">
      <c r="N767" s="30"/>
      <c r="AB767" s="30"/>
      <c r="AP767" s="30"/>
      <c r="BD767" s="30"/>
    </row>
    <row r="768" ht="15.75" customHeight="1">
      <c r="N768" s="30"/>
      <c r="AB768" s="30"/>
      <c r="AP768" s="30"/>
      <c r="BD768" s="30"/>
    </row>
    <row r="769" ht="15.75" customHeight="1">
      <c r="N769" s="30"/>
      <c r="AB769" s="30"/>
      <c r="AP769" s="30"/>
      <c r="BD769" s="30"/>
    </row>
    <row r="770" ht="15.75" customHeight="1">
      <c r="N770" s="30"/>
      <c r="AB770" s="30"/>
      <c r="AP770" s="30"/>
      <c r="BD770" s="30"/>
    </row>
    <row r="771" ht="15.75" customHeight="1">
      <c r="N771" s="30"/>
      <c r="AB771" s="30"/>
      <c r="AP771" s="30"/>
      <c r="BD771" s="30"/>
    </row>
    <row r="772" ht="15.75" customHeight="1">
      <c r="N772" s="30"/>
      <c r="AB772" s="30"/>
      <c r="AP772" s="30"/>
      <c r="BD772" s="30"/>
    </row>
    <row r="773" ht="15.75" customHeight="1">
      <c r="N773" s="30"/>
      <c r="AB773" s="30"/>
      <c r="AP773" s="30"/>
      <c r="BD773" s="30"/>
    </row>
    <row r="774" ht="15.75" customHeight="1">
      <c r="N774" s="30"/>
      <c r="AB774" s="30"/>
      <c r="AP774" s="30"/>
      <c r="BD774" s="30"/>
    </row>
    <row r="775" ht="15.75" customHeight="1">
      <c r="N775" s="30"/>
      <c r="AB775" s="30"/>
      <c r="AP775" s="30"/>
      <c r="BD775" s="30"/>
    </row>
    <row r="776" ht="15.75" customHeight="1">
      <c r="N776" s="30"/>
      <c r="AB776" s="30"/>
      <c r="AP776" s="30"/>
      <c r="BD776" s="30"/>
    </row>
    <row r="777" ht="15.75" customHeight="1">
      <c r="N777" s="30"/>
      <c r="AB777" s="30"/>
      <c r="AP777" s="30"/>
      <c r="BD777" s="30"/>
    </row>
    <row r="778" ht="15.75" customHeight="1">
      <c r="N778" s="30"/>
      <c r="AB778" s="30"/>
      <c r="AP778" s="30"/>
      <c r="BD778" s="30"/>
    </row>
    <row r="779" ht="15.75" customHeight="1">
      <c r="N779" s="30"/>
      <c r="AB779" s="30"/>
      <c r="AP779" s="30"/>
      <c r="BD779" s="30"/>
    </row>
    <row r="780" ht="15.75" customHeight="1">
      <c r="N780" s="30"/>
      <c r="AB780" s="30"/>
      <c r="AP780" s="30"/>
      <c r="BD780" s="30"/>
    </row>
    <row r="781" ht="15.75" customHeight="1">
      <c r="N781" s="30"/>
      <c r="AB781" s="30"/>
      <c r="AP781" s="30"/>
      <c r="BD781" s="30"/>
    </row>
    <row r="782" ht="15.75" customHeight="1">
      <c r="N782" s="30"/>
      <c r="AB782" s="30"/>
      <c r="AP782" s="30"/>
      <c r="BD782" s="30"/>
    </row>
    <row r="783" ht="15.75" customHeight="1">
      <c r="N783" s="30"/>
      <c r="AB783" s="30"/>
      <c r="AP783" s="30"/>
      <c r="BD783" s="30"/>
    </row>
    <row r="784" ht="15.75" customHeight="1">
      <c r="N784" s="30"/>
      <c r="AB784" s="30"/>
      <c r="AP784" s="30"/>
      <c r="BD784" s="30"/>
    </row>
    <row r="785" ht="15.75" customHeight="1">
      <c r="N785" s="30"/>
      <c r="AB785" s="30"/>
      <c r="AP785" s="30"/>
      <c r="BD785" s="30"/>
    </row>
    <row r="786" ht="15.75" customHeight="1">
      <c r="N786" s="30"/>
      <c r="AB786" s="30"/>
      <c r="AP786" s="30"/>
      <c r="BD786" s="30"/>
    </row>
    <row r="787" ht="15.75" customHeight="1">
      <c r="N787" s="30"/>
      <c r="AB787" s="30"/>
      <c r="AP787" s="30"/>
      <c r="BD787" s="30"/>
    </row>
    <row r="788" ht="15.75" customHeight="1">
      <c r="N788" s="30"/>
      <c r="AB788" s="30"/>
      <c r="AP788" s="30"/>
      <c r="BD788" s="30"/>
    </row>
    <row r="789" ht="15.75" customHeight="1">
      <c r="N789" s="30"/>
      <c r="AB789" s="30"/>
      <c r="AP789" s="30"/>
      <c r="BD789" s="30"/>
    </row>
    <row r="790" ht="15.75" customHeight="1">
      <c r="N790" s="30"/>
      <c r="AB790" s="30"/>
      <c r="AP790" s="30"/>
      <c r="BD790" s="30"/>
    </row>
    <row r="791" ht="15.75" customHeight="1">
      <c r="N791" s="30"/>
      <c r="AB791" s="30"/>
      <c r="AP791" s="30"/>
      <c r="BD791" s="30"/>
    </row>
    <row r="792" ht="15.75" customHeight="1">
      <c r="N792" s="30"/>
      <c r="AB792" s="30"/>
      <c r="AP792" s="30"/>
      <c r="BD792" s="30"/>
    </row>
    <row r="793" ht="15.75" customHeight="1">
      <c r="N793" s="30"/>
      <c r="AB793" s="30"/>
      <c r="AP793" s="30"/>
      <c r="BD793" s="30"/>
    </row>
    <row r="794" ht="15.75" customHeight="1">
      <c r="N794" s="30"/>
      <c r="AB794" s="30"/>
      <c r="AP794" s="30"/>
      <c r="BD794" s="30"/>
    </row>
    <row r="795" ht="15.75" customHeight="1">
      <c r="N795" s="30"/>
      <c r="AB795" s="30"/>
      <c r="AP795" s="30"/>
      <c r="BD795" s="30"/>
    </row>
    <row r="796" ht="15.75" customHeight="1">
      <c r="N796" s="30"/>
      <c r="AB796" s="30"/>
      <c r="AP796" s="30"/>
      <c r="BD796" s="30"/>
    </row>
    <row r="797" ht="15.75" customHeight="1">
      <c r="N797" s="30"/>
      <c r="AB797" s="30"/>
      <c r="AP797" s="30"/>
      <c r="BD797" s="30"/>
    </row>
    <row r="798" ht="15.75" customHeight="1">
      <c r="N798" s="30"/>
      <c r="AB798" s="30"/>
      <c r="AP798" s="30"/>
      <c r="BD798" s="30"/>
    </row>
    <row r="799" ht="15.75" customHeight="1">
      <c r="N799" s="30"/>
      <c r="AB799" s="30"/>
      <c r="AP799" s="30"/>
      <c r="BD799" s="30"/>
    </row>
    <row r="800" ht="15.75" customHeight="1">
      <c r="N800" s="30"/>
      <c r="AB800" s="30"/>
      <c r="AP800" s="30"/>
      <c r="BD800" s="30"/>
    </row>
    <row r="801" ht="15.75" customHeight="1">
      <c r="N801" s="30"/>
      <c r="AB801" s="30"/>
      <c r="AP801" s="30"/>
      <c r="BD801" s="30"/>
    </row>
    <row r="802" ht="15.75" customHeight="1">
      <c r="N802" s="30"/>
      <c r="AB802" s="30"/>
      <c r="AP802" s="30"/>
      <c r="BD802" s="30"/>
    </row>
    <row r="803" ht="15.75" customHeight="1">
      <c r="N803" s="30"/>
      <c r="AB803" s="30"/>
      <c r="AP803" s="30"/>
      <c r="BD803" s="30"/>
    </row>
    <row r="804" ht="15.75" customHeight="1">
      <c r="N804" s="30"/>
      <c r="AB804" s="30"/>
      <c r="AP804" s="30"/>
      <c r="BD804" s="30"/>
    </row>
    <row r="805" ht="15.75" customHeight="1">
      <c r="N805" s="30"/>
      <c r="AB805" s="30"/>
      <c r="AP805" s="30"/>
      <c r="BD805" s="30"/>
    </row>
    <row r="806" ht="15.75" customHeight="1">
      <c r="N806" s="30"/>
      <c r="AB806" s="30"/>
      <c r="AP806" s="30"/>
      <c r="BD806" s="30"/>
    </row>
    <row r="807" ht="15.75" customHeight="1">
      <c r="N807" s="30"/>
      <c r="AB807" s="30"/>
      <c r="AP807" s="30"/>
      <c r="BD807" s="30"/>
    </row>
    <row r="808" ht="15.75" customHeight="1">
      <c r="N808" s="30"/>
      <c r="AB808" s="30"/>
      <c r="AP808" s="30"/>
      <c r="BD808" s="30"/>
    </row>
    <row r="809" ht="15.75" customHeight="1">
      <c r="N809" s="30"/>
      <c r="AB809" s="30"/>
      <c r="AP809" s="30"/>
      <c r="BD809" s="30"/>
    </row>
    <row r="810" ht="15.75" customHeight="1">
      <c r="N810" s="30"/>
      <c r="AB810" s="30"/>
      <c r="AP810" s="30"/>
      <c r="BD810" s="30"/>
    </row>
    <row r="811" ht="15.75" customHeight="1">
      <c r="N811" s="30"/>
      <c r="AB811" s="30"/>
      <c r="AP811" s="30"/>
      <c r="BD811" s="30"/>
    </row>
    <row r="812" ht="15.75" customHeight="1">
      <c r="N812" s="30"/>
      <c r="AB812" s="30"/>
      <c r="AP812" s="30"/>
      <c r="BD812" s="30"/>
    </row>
    <row r="813" ht="15.75" customHeight="1">
      <c r="N813" s="30"/>
      <c r="AB813" s="30"/>
      <c r="AP813" s="30"/>
      <c r="BD813" s="30"/>
    </row>
    <row r="814" ht="15.75" customHeight="1">
      <c r="N814" s="30"/>
      <c r="AB814" s="30"/>
      <c r="AP814" s="30"/>
      <c r="BD814" s="30"/>
    </row>
    <row r="815" ht="15.75" customHeight="1">
      <c r="N815" s="30"/>
      <c r="AB815" s="30"/>
      <c r="AP815" s="30"/>
      <c r="BD815" s="30"/>
    </row>
    <row r="816" ht="15.75" customHeight="1">
      <c r="N816" s="30"/>
      <c r="AB816" s="30"/>
      <c r="AP816" s="30"/>
      <c r="BD816" s="30"/>
    </row>
    <row r="817" ht="15.75" customHeight="1">
      <c r="N817" s="30"/>
      <c r="AB817" s="30"/>
      <c r="AP817" s="30"/>
      <c r="BD817" s="30"/>
    </row>
    <row r="818" ht="15.75" customHeight="1">
      <c r="N818" s="30"/>
      <c r="AB818" s="30"/>
      <c r="AP818" s="30"/>
      <c r="BD818" s="30"/>
    </row>
    <row r="819" ht="15.75" customHeight="1">
      <c r="N819" s="30"/>
      <c r="AB819" s="30"/>
      <c r="AP819" s="30"/>
      <c r="BD819" s="30"/>
    </row>
    <row r="820" ht="15.75" customHeight="1">
      <c r="N820" s="30"/>
      <c r="AB820" s="30"/>
      <c r="AP820" s="30"/>
      <c r="BD820" s="30"/>
    </row>
    <row r="821" ht="15.75" customHeight="1">
      <c r="N821" s="30"/>
      <c r="AB821" s="30"/>
      <c r="AP821" s="30"/>
      <c r="BD821" s="30"/>
    </row>
    <row r="822" ht="15.75" customHeight="1">
      <c r="N822" s="30"/>
      <c r="AB822" s="30"/>
      <c r="AP822" s="30"/>
      <c r="BD822" s="30"/>
    </row>
    <row r="823" ht="15.75" customHeight="1">
      <c r="N823" s="30"/>
      <c r="AB823" s="30"/>
      <c r="AP823" s="30"/>
      <c r="BD823" s="30"/>
    </row>
    <row r="824" ht="15.75" customHeight="1">
      <c r="N824" s="30"/>
      <c r="AB824" s="30"/>
      <c r="AP824" s="30"/>
      <c r="BD824" s="30"/>
    </row>
    <row r="825" ht="15.75" customHeight="1">
      <c r="N825" s="30"/>
      <c r="AB825" s="30"/>
      <c r="AP825" s="30"/>
      <c r="BD825" s="30"/>
    </row>
    <row r="826" ht="15.75" customHeight="1">
      <c r="N826" s="30"/>
      <c r="AB826" s="30"/>
      <c r="AP826" s="30"/>
      <c r="BD826" s="30"/>
    </row>
    <row r="827" ht="15.75" customHeight="1">
      <c r="N827" s="30"/>
      <c r="AB827" s="30"/>
      <c r="AP827" s="30"/>
      <c r="BD827" s="30"/>
    </row>
    <row r="828" ht="15.75" customHeight="1">
      <c r="N828" s="30"/>
      <c r="AB828" s="30"/>
      <c r="AP828" s="30"/>
      <c r="BD828" s="30"/>
    </row>
    <row r="829" ht="15.75" customHeight="1">
      <c r="N829" s="30"/>
      <c r="AB829" s="30"/>
      <c r="AP829" s="30"/>
      <c r="BD829" s="30"/>
    </row>
    <row r="830" ht="15.75" customHeight="1">
      <c r="N830" s="30"/>
      <c r="AB830" s="30"/>
      <c r="AP830" s="30"/>
      <c r="BD830" s="30"/>
    </row>
    <row r="831" ht="15.75" customHeight="1">
      <c r="N831" s="30"/>
      <c r="AB831" s="30"/>
      <c r="AP831" s="30"/>
      <c r="BD831" s="30"/>
    </row>
    <row r="832" ht="15.75" customHeight="1">
      <c r="N832" s="30"/>
      <c r="AB832" s="30"/>
      <c r="AP832" s="30"/>
      <c r="BD832" s="30"/>
    </row>
    <row r="833" ht="15.75" customHeight="1">
      <c r="N833" s="30"/>
      <c r="AB833" s="30"/>
      <c r="AP833" s="30"/>
      <c r="BD833" s="30"/>
    </row>
    <row r="834" ht="15.75" customHeight="1">
      <c r="N834" s="30"/>
      <c r="AB834" s="30"/>
      <c r="AP834" s="30"/>
      <c r="BD834" s="30"/>
    </row>
    <row r="835" ht="15.75" customHeight="1">
      <c r="N835" s="30"/>
      <c r="AB835" s="30"/>
      <c r="AP835" s="30"/>
      <c r="BD835" s="30"/>
    </row>
    <row r="836" ht="15.75" customHeight="1">
      <c r="N836" s="30"/>
      <c r="AB836" s="30"/>
      <c r="AP836" s="30"/>
      <c r="BD836" s="30"/>
    </row>
    <row r="837" ht="15.75" customHeight="1">
      <c r="N837" s="30"/>
      <c r="AB837" s="30"/>
      <c r="AP837" s="30"/>
      <c r="BD837" s="30"/>
    </row>
    <row r="838" ht="15.75" customHeight="1">
      <c r="N838" s="30"/>
      <c r="AB838" s="30"/>
      <c r="AP838" s="30"/>
      <c r="BD838" s="30"/>
    </row>
    <row r="839" ht="15.75" customHeight="1">
      <c r="N839" s="30"/>
      <c r="AB839" s="30"/>
      <c r="AP839" s="30"/>
      <c r="BD839" s="30"/>
    </row>
    <row r="840" ht="15.75" customHeight="1">
      <c r="N840" s="30"/>
      <c r="AB840" s="30"/>
      <c r="AP840" s="30"/>
      <c r="BD840" s="30"/>
    </row>
    <row r="841" ht="15.75" customHeight="1">
      <c r="N841" s="30"/>
      <c r="AB841" s="30"/>
      <c r="AP841" s="30"/>
      <c r="BD841" s="30"/>
    </row>
    <row r="842" ht="15.75" customHeight="1">
      <c r="N842" s="30"/>
      <c r="AB842" s="30"/>
      <c r="AP842" s="30"/>
      <c r="BD842" s="30"/>
    </row>
    <row r="843" ht="15.75" customHeight="1">
      <c r="N843" s="30"/>
      <c r="AB843" s="30"/>
      <c r="AP843" s="30"/>
      <c r="BD843" s="30"/>
    </row>
    <row r="844" ht="15.75" customHeight="1">
      <c r="N844" s="30"/>
      <c r="AB844" s="30"/>
      <c r="AP844" s="30"/>
      <c r="BD844" s="30"/>
    </row>
    <row r="845" ht="15.75" customHeight="1">
      <c r="N845" s="30"/>
      <c r="AB845" s="30"/>
      <c r="AP845" s="30"/>
      <c r="BD845" s="30"/>
    </row>
    <row r="846" ht="15.75" customHeight="1">
      <c r="N846" s="30"/>
      <c r="AB846" s="30"/>
      <c r="AP846" s="30"/>
      <c r="BD846" s="30"/>
    </row>
    <row r="847" ht="15.75" customHeight="1">
      <c r="N847" s="30"/>
      <c r="AB847" s="30"/>
      <c r="AP847" s="30"/>
      <c r="BD847" s="30"/>
    </row>
    <row r="848" ht="15.75" customHeight="1">
      <c r="N848" s="30"/>
      <c r="AB848" s="30"/>
      <c r="AP848" s="30"/>
      <c r="BD848" s="30"/>
    </row>
    <row r="849" ht="15.75" customHeight="1">
      <c r="N849" s="30"/>
      <c r="AB849" s="30"/>
      <c r="AP849" s="30"/>
      <c r="BD849" s="30"/>
    </row>
    <row r="850" ht="15.75" customHeight="1">
      <c r="N850" s="30"/>
      <c r="AB850" s="30"/>
      <c r="AP850" s="30"/>
      <c r="BD850" s="30"/>
    </row>
    <row r="851" ht="15.75" customHeight="1">
      <c r="N851" s="30"/>
      <c r="AB851" s="30"/>
      <c r="AP851" s="30"/>
      <c r="BD851" s="30"/>
    </row>
    <row r="852" ht="15.75" customHeight="1">
      <c r="N852" s="30"/>
      <c r="AB852" s="30"/>
      <c r="AP852" s="30"/>
      <c r="BD852" s="30"/>
    </row>
    <row r="853" ht="15.75" customHeight="1">
      <c r="N853" s="30"/>
      <c r="AB853" s="30"/>
      <c r="AP853" s="30"/>
      <c r="BD853" s="30"/>
    </row>
    <row r="854" ht="15.75" customHeight="1">
      <c r="N854" s="30"/>
      <c r="AB854" s="30"/>
      <c r="AP854" s="30"/>
      <c r="BD854" s="30"/>
    </row>
    <row r="855" ht="15.75" customHeight="1">
      <c r="N855" s="30"/>
      <c r="AB855" s="30"/>
      <c r="AP855" s="30"/>
      <c r="BD855" s="30"/>
    </row>
    <row r="856" ht="15.75" customHeight="1">
      <c r="N856" s="30"/>
      <c r="AB856" s="30"/>
      <c r="AP856" s="30"/>
      <c r="BD856" s="30"/>
    </row>
    <row r="857" ht="15.75" customHeight="1">
      <c r="N857" s="30"/>
      <c r="AB857" s="30"/>
      <c r="AP857" s="30"/>
      <c r="BD857" s="30"/>
    </row>
    <row r="858" ht="15.75" customHeight="1">
      <c r="N858" s="30"/>
      <c r="AB858" s="30"/>
      <c r="AP858" s="30"/>
      <c r="BD858" s="30"/>
    </row>
    <row r="859" ht="15.75" customHeight="1">
      <c r="N859" s="30"/>
      <c r="AB859" s="30"/>
      <c r="AP859" s="30"/>
      <c r="BD859" s="30"/>
    </row>
    <row r="860" ht="15.75" customHeight="1">
      <c r="N860" s="30"/>
      <c r="AB860" s="30"/>
      <c r="AP860" s="30"/>
      <c r="BD860" s="30"/>
    </row>
    <row r="861" ht="15.75" customHeight="1">
      <c r="N861" s="30"/>
      <c r="AB861" s="30"/>
      <c r="AP861" s="30"/>
      <c r="BD861" s="30"/>
    </row>
    <row r="862" ht="15.75" customHeight="1">
      <c r="N862" s="30"/>
      <c r="AB862" s="30"/>
      <c r="AP862" s="30"/>
      <c r="BD862" s="30"/>
    </row>
    <row r="863" ht="15.75" customHeight="1">
      <c r="N863" s="30"/>
      <c r="AB863" s="30"/>
      <c r="AP863" s="30"/>
      <c r="BD863" s="30"/>
    </row>
    <row r="864" ht="15.75" customHeight="1">
      <c r="N864" s="30"/>
      <c r="AB864" s="30"/>
      <c r="AP864" s="30"/>
      <c r="BD864" s="30"/>
    </row>
    <row r="865" ht="15.75" customHeight="1">
      <c r="N865" s="30"/>
      <c r="AB865" s="30"/>
      <c r="AP865" s="30"/>
      <c r="BD865" s="30"/>
    </row>
    <row r="866" ht="15.75" customHeight="1">
      <c r="N866" s="30"/>
      <c r="AB866" s="30"/>
      <c r="AP866" s="30"/>
      <c r="BD866" s="30"/>
    </row>
    <row r="867" ht="15.75" customHeight="1">
      <c r="N867" s="30"/>
      <c r="AB867" s="30"/>
      <c r="AP867" s="30"/>
      <c r="BD867" s="30"/>
    </row>
    <row r="868" ht="15.75" customHeight="1">
      <c r="N868" s="30"/>
      <c r="AB868" s="30"/>
      <c r="AP868" s="30"/>
      <c r="BD868" s="30"/>
    </row>
    <row r="869" ht="15.75" customHeight="1">
      <c r="N869" s="30"/>
      <c r="AB869" s="30"/>
      <c r="AP869" s="30"/>
      <c r="BD869" s="30"/>
    </row>
    <row r="870" ht="15.75" customHeight="1">
      <c r="N870" s="30"/>
      <c r="AB870" s="30"/>
      <c r="AP870" s="30"/>
      <c r="BD870" s="30"/>
    </row>
    <row r="871" ht="15.75" customHeight="1">
      <c r="N871" s="30"/>
      <c r="AB871" s="30"/>
      <c r="AP871" s="30"/>
      <c r="BD871" s="30"/>
    </row>
    <row r="872" ht="15.75" customHeight="1">
      <c r="N872" s="30"/>
      <c r="AB872" s="30"/>
      <c r="AP872" s="30"/>
      <c r="BD872" s="30"/>
    </row>
    <row r="873" ht="15.75" customHeight="1">
      <c r="N873" s="30"/>
      <c r="AB873" s="30"/>
      <c r="AP873" s="30"/>
      <c r="BD873" s="30"/>
    </row>
    <row r="874" ht="15.75" customHeight="1">
      <c r="N874" s="30"/>
      <c r="AB874" s="30"/>
      <c r="AP874" s="30"/>
      <c r="BD874" s="30"/>
    </row>
    <row r="875" ht="15.75" customHeight="1">
      <c r="N875" s="30"/>
      <c r="AB875" s="30"/>
      <c r="AP875" s="30"/>
      <c r="BD875" s="30"/>
    </row>
    <row r="876" ht="15.75" customHeight="1">
      <c r="N876" s="30"/>
      <c r="AB876" s="30"/>
      <c r="AP876" s="30"/>
      <c r="BD876" s="30"/>
    </row>
    <row r="877" ht="15.75" customHeight="1">
      <c r="N877" s="30"/>
      <c r="AB877" s="30"/>
      <c r="AP877" s="30"/>
      <c r="BD877" s="30"/>
    </row>
    <row r="878" ht="15.75" customHeight="1">
      <c r="N878" s="30"/>
      <c r="AB878" s="30"/>
      <c r="AP878" s="30"/>
      <c r="BD878" s="30"/>
    </row>
    <row r="879" ht="15.75" customHeight="1">
      <c r="N879" s="30"/>
      <c r="AB879" s="30"/>
      <c r="AP879" s="30"/>
      <c r="BD879" s="30"/>
    </row>
    <row r="880" ht="15.75" customHeight="1">
      <c r="N880" s="30"/>
      <c r="AB880" s="30"/>
      <c r="AP880" s="30"/>
      <c r="BD880" s="30"/>
    </row>
    <row r="881" ht="15.75" customHeight="1">
      <c r="N881" s="30"/>
      <c r="AB881" s="30"/>
      <c r="AP881" s="30"/>
      <c r="BD881" s="30"/>
    </row>
    <row r="882" ht="15.75" customHeight="1">
      <c r="N882" s="30"/>
      <c r="AB882" s="30"/>
      <c r="AP882" s="30"/>
      <c r="BD882" s="30"/>
    </row>
    <row r="883" ht="15.75" customHeight="1">
      <c r="N883" s="30"/>
      <c r="AB883" s="30"/>
      <c r="AP883" s="30"/>
      <c r="BD883" s="30"/>
    </row>
    <row r="884" ht="15.75" customHeight="1">
      <c r="N884" s="30"/>
      <c r="AB884" s="30"/>
      <c r="AP884" s="30"/>
      <c r="BD884" s="30"/>
    </row>
    <row r="885" ht="15.75" customHeight="1">
      <c r="N885" s="30"/>
      <c r="AB885" s="30"/>
      <c r="AP885" s="30"/>
      <c r="BD885" s="30"/>
    </row>
    <row r="886" ht="15.75" customHeight="1">
      <c r="N886" s="30"/>
      <c r="AB886" s="30"/>
      <c r="AP886" s="30"/>
      <c r="BD886" s="30"/>
    </row>
    <row r="887" ht="15.75" customHeight="1">
      <c r="N887" s="30"/>
      <c r="AB887" s="30"/>
      <c r="AP887" s="30"/>
      <c r="BD887" s="30"/>
    </row>
    <row r="888" ht="15.75" customHeight="1">
      <c r="N888" s="30"/>
      <c r="AB888" s="30"/>
      <c r="AP888" s="30"/>
      <c r="BD888" s="30"/>
    </row>
    <row r="889" ht="15.75" customHeight="1">
      <c r="N889" s="30"/>
      <c r="AB889" s="30"/>
      <c r="AP889" s="30"/>
      <c r="BD889" s="30"/>
    </row>
    <row r="890" ht="15.75" customHeight="1">
      <c r="N890" s="30"/>
      <c r="AB890" s="30"/>
      <c r="AP890" s="30"/>
      <c r="BD890" s="30"/>
    </row>
    <row r="891" ht="15.75" customHeight="1">
      <c r="N891" s="30"/>
      <c r="AB891" s="30"/>
      <c r="AP891" s="30"/>
      <c r="BD891" s="30"/>
    </row>
    <row r="892" ht="15.75" customHeight="1">
      <c r="N892" s="30"/>
      <c r="AB892" s="30"/>
      <c r="AP892" s="30"/>
      <c r="BD892" s="30"/>
    </row>
    <row r="893" ht="15.75" customHeight="1">
      <c r="N893" s="30"/>
      <c r="AB893" s="30"/>
      <c r="AP893" s="30"/>
      <c r="BD893" s="30"/>
    </row>
    <row r="894" ht="15.75" customHeight="1">
      <c r="N894" s="30"/>
      <c r="AB894" s="30"/>
      <c r="AP894" s="30"/>
      <c r="BD894" s="30"/>
    </row>
    <row r="895" ht="15.75" customHeight="1">
      <c r="N895" s="30"/>
      <c r="AB895" s="30"/>
      <c r="AP895" s="30"/>
      <c r="BD895" s="30"/>
    </row>
    <row r="896" ht="15.75" customHeight="1">
      <c r="N896" s="30"/>
      <c r="AB896" s="30"/>
      <c r="AP896" s="30"/>
      <c r="BD896" s="30"/>
    </row>
    <row r="897" ht="15.75" customHeight="1">
      <c r="N897" s="30"/>
      <c r="AB897" s="30"/>
      <c r="AP897" s="30"/>
      <c r="BD897" s="30"/>
    </row>
    <row r="898" ht="15.75" customHeight="1">
      <c r="N898" s="30"/>
      <c r="AB898" s="30"/>
      <c r="AP898" s="30"/>
      <c r="BD898" s="30"/>
    </row>
    <row r="899" ht="15.75" customHeight="1">
      <c r="N899" s="30"/>
      <c r="AB899" s="30"/>
      <c r="AP899" s="30"/>
      <c r="BD899" s="30"/>
    </row>
    <row r="900" ht="15.75" customHeight="1">
      <c r="N900" s="30"/>
      <c r="AB900" s="30"/>
      <c r="AP900" s="30"/>
      <c r="BD900" s="30"/>
    </row>
    <row r="901" ht="15.75" customHeight="1">
      <c r="N901" s="30"/>
      <c r="AB901" s="30"/>
      <c r="AP901" s="30"/>
      <c r="BD901" s="30"/>
    </row>
    <row r="902" ht="15.75" customHeight="1">
      <c r="N902" s="30"/>
      <c r="AB902" s="30"/>
      <c r="AP902" s="30"/>
      <c r="BD902" s="30"/>
    </row>
    <row r="903" ht="15.75" customHeight="1">
      <c r="N903" s="30"/>
      <c r="AB903" s="30"/>
      <c r="AP903" s="30"/>
      <c r="BD903" s="30"/>
    </row>
    <row r="904" ht="15.75" customHeight="1">
      <c r="N904" s="30"/>
      <c r="AB904" s="30"/>
      <c r="AP904" s="30"/>
      <c r="BD904" s="30"/>
    </row>
    <row r="905" ht="15.75" customHeight="1">
      <c r="N905" s="30"/>
      <c r="AB905" s="30"/>
      <c r="AP905" s="30"/>
      <c r="BD905" s="30"/>
    </row>
    <row r="906" ht="15.75" customHeight="1">
      <c r="N906" s="30"/>
      <c r="AB906" s="30"/>
      <c r="AP906" s="30"/>
      <c r="BD906" s="30"/>
    </row>
    <row r="907" ht="15.75" customHeight="1">
      <c r="N907" s="30"/>
      <c r="AB907" s="30"/>
      <c r="AP907" s="30"/>
      <c r="BD907" s="30"/>
    </row>
    <row r="908" ht="15.75" customHeight="1">
      <c r="N908" s="30"/>
      <c r="AB908" s="30"/>
      <c r="AP908" s="30"/>
      <c r="BD908" s="30"/>
    </row>
    <row r="909" ht="15.75" customHeight="1">
      <c r="N909" s="30"/>
      <c r="AB909" s="30"/>
      <c r="AP909" s="30"/>
      <c r="BD909" s="30"/>
    </row>
    <row r="910" ht="15.75" customHeight="1">
      <c r="N910" s="30"/>
      <c r="AB910" s="30"/>
      <c r="AP910" s="30"/>
      <c r="BD910" s="30"/>
    </row>
    <row r="911" ht="15.75" customHeight="1">
      <c r="N911" s="30"/>
      <c r="AB911" s="30"/>
      <c r="AP911" s="30"/>
      <c r="BD911" s="30"/>
    </row>
    <row r="912" ht="15.75" customHeight="1">
      <c r="N912" s="30"/>
      <c r="AB912" s="30"/>
      <c r="AP912" s="30"/>
      <c r="BD912" s="30"/>
    </row>
    <row r="913" ht="15.75" customHeight="1">
      <c r="N913" s="30"/>
      <c r="AB913" s="30"/>
      <c r="AP913" s="30"/>
      <c r="BD913" s="30"/>
    </row>
    <row r="914" ht="15.75" customHeight="1">
      <c r="N914" s="30"/>
      <c r="AB914" s="30"/>
      <c r="AP914" s="30"/>
      <c r="BD914" s="30"/>
    </row>
    <row r="915" ht="15.75" customHeight="1">
      <c r="N915" s="30"/>
      <c r="AB915" s="30"/>
      <c r="AP915" s="30"/>
      <c r="BD915" s="30"/>
    </row>
    <row r="916" ht="15.75" customHeight="1">
      <c r="N916" s="30"/>
      <c r="AB916" s="30"/>
      <c r="AP916" s="30"/>
      <c r="BD916" s="30"/>
    </row>
    <row r="917" ht="15.75" customHeight="1">
      <c r="N917" s="30"/>
      <c r="AB917" s="30"/>
      <c r="AP917" s="30"/>
      <c r="BD917" s="30"/>
    </row>
    <row r="918" ht="15.75" customHeight="1">
      <c r="N918" s="30"/>
      <c r="AB918" s="30"/>
      <c r="AP918" s="30"/>
      <c r="BD918" s="30"/>
    </row>
    <row r="919" ht="15.75" customHeight="1">
      <c r="N919" s="30"/>
      <c r="AB919" s="30"/>
      <c r="AP919" s="30"/>
      <c r="BD919" s="30"/>
    </row>
    <row r="920" ht="15.75" customHeight="1">
      <c r="N920" s="30"/>
      <c r="AB920" s="30"/>
      <c r="AP920" s="30"/>
      <c r="BD920" s="30"/>
    </row>
    <row r="921" ht="15.75" customHeight="1">
      <c r="N921" s="30"/>
      <c r="AB921" s="30"/>
      <c r="AP921" s="30"/>
      <c r="BD921" s="30"/>
    </row>
    <row r="922" ht="15.75" customHeight="1">
      <c r="N922" s="30"/>
      <c r="AB922" s="30"/>
      <c r="AP922" s="30"/>
      <c r="BD922" s="30"/>
    </row>
    <row r="923" ht="15.75" customHeight="1">
      <c r="N923" s="30"/>
      <c r="AB923" s="30"/>
      <c r="AP923" s="30"/>
      <c r="BD923" s="30"/>
    </row>
    <row r="924" ht="15.75" customHeight="1">
      <c r="N924" s="30"/>
      <c r="AB924" s="30"/>
      <c r="AP924" s="30"/>
      <c r="BD924" s="30"/>
    </row>
    <row r="925" ht="15.75" customHeight="1">
      <c r="N925" s="30"/>
      <c r="AB925" s="30"/>
      <c r="AP925" s="30"/>
      <c r="BD925" s="30"/>
    </row>
    <row r="926" ht="15.75" customHeight="1">
      <c r="N926" s="30"/>
      <c r="AB926" s="30"/>
      <c r="AP926" s="30"/>
      <c r="BD926" s="30"/>
    </row>
    <row r="927" ht="15.75" customHeight="1">
      <c r="N927" s="30"/>
      <c r="AB927" s="30"/>
      <c r="AP927" s="30"/>
      <c r="BD927" s="30"/>
    </row>
    <row r="928" ht="15.75" customHeight="1">
      <c r="N928" s="30"/>
      <c r="AB928" s="30"/>
      <c r="AP928" s="30"/>
      <c r="BD928" s="30"/>
    </row>
    <row r="929" ht="15.75" customHeight="1">
      <c r="N929" s="30"/>
      <c r="AB929" s="30"/>
      <c r="AP929" s="30"/>
      <c r="BD929" s="30"/>
    </row>
    <row r="930" ht="15.75" customHeight="1">
      <c r="N930" s="30"/>
      <c r="AB930" s="30"/>
      <c r="AP930" s="30"/>
      <c r="BD930" s="30"/>
    </row>
    <row r="931" ht="15.75" customHeight="1">
      <c r="N931" s="30"/>
      <c r="AB931" s="30"/>
      <c r="AP931" s="30"/>
      <c r="BD931" s="30"/>
    </row>
    <row r="932" ht="15.75" customHeight="1">
      <c r="N932" s="30"/>
      <c r="AB932" s="30"/>
      <c r="AP932" s="30"/>
      <c r="BD932" s="30"/>
    </row>
    <row r="933" ht="15.75" customHeight="1">
      <c r="N933" s="30"/>
      <c r="AB933" s="30"/>
      <c r="AP933" s="30"/>
      <c r="BD933" s="30"/>
    </row>
    <row r="934" ht="15.75" customHeight="1">
      <c r="N934" s="30"/>
      <c r="AB934" s="30"/>
      <c r="AP934" s="30"/>
      <c r="BD934" s="30"/>
    </row>
    <row r="935" ht="15.75" customHeight="1">
      <c r="N935" s="30"/>
      <c r="AB935" s="30"/>
      <c r="AP935" s="30"/>
      <c r="BD935" s="30"/>
    </row>
    <row r="936" ht="15.75" customHeight="1">
      <c r="N936" s="30"/>
      <c r="AB936" s="30"/>
      <c r="AP936" s="30"/>
      <c r="BD936" s="30"/>
    </row>
    <row r="937" ht="15.75" customHeight="1">
      <c r="N937" s="30"/>
      <c r="AB937" s="30"/>
      <c r="AP937" s="30"/>
      <c r="BD937" s="30"/>
    </row>
    <row r="938" ht="15.75" customHeight="1">
      <c r="N938" s="30"/>
      <c r="AB938" s="30"/>
      <c r="AP938" s="30"/>
      <c r="BD938" s="30"/>
    </row>
    <row r="939" ht="15.75" customHeight="1">
      <c r="N939" s="30"/>
      <c r="AB939" s="30"/>
      <c r="AP939" s="30"/>
      <c r="BD939" s="30"/>
    </row>
    <row r="940" ht="15.75" customHeight="1">
      <c r="N940" s="30"/>
      <c r="AB940" s="30"/>
      <c r="AP940" s="30"/>
      <c r="BD940" s="30"/>
    </row>
    <row r="941" ht="15.75" customHeight="1">
      <c r="N941" s="30"/>
      <c r="AB941" s="30"/>
      <c r="AP941" s="30"/>
      <c r="BD941" s="30"/>
    </row>
    <row r="942" ht="15.75" customHeight="1">
      <c r="N942" s="30"/>
      <c r="AB942" s="30"/>
      <c r="AP942" s="30"/>
      <c r="BD942" s="30"/>
    </row>
    <row r="943" ht="15.75" customHeight="1">
      <c r="N943" s="30"/>
      <c r="AB943" s="30"/>
      <c r="AP943" s="30"/>
      <c r="BD943" s="30"/>
    </row>
    <row r="944" ht="15.75" customHeight="1">
      <c r="N944" s="30"/>
      <c r="AB944" s="30"/>
      <c r="AP944" s="30"/>
      <c r="BD944" s="30"/>
    </row>
    <row r="945" ht="15.75" customHeight="1">
      <c r="N945" s="30"/>
      <c r="AB945" s="30"/>
      <c r="AP945" s="30"/>
      <c r="BD945" s="30"/>
    </row>
    <row r="946" ht="15.75" customHeight="1">
      <c r="N946" s="30"/>
      <c r="AB946" s="30"/>
      <c r="AP946" s="30"/>
      <c r="BD946" s="30"/>
    </row>
    <row r="947" ht="15.75" customHeight="1">
      <c r="N947" s="30"/>
      <c r="AB947" s="30"/>
      <c r="AP947" s="30"/>
      <c r="BD947" s="30"/>
    </row>
    <row r="948" ht="15.75" customHeight="1">
      <c r="N948" s="30"/>
      <c r="AB948" s="30"/>
      <c r="AP948" s="30"/>
      <c r="BD948" s="30"/>
    </row>
    <row r="949" ht="15.75" customHeight="1">
      <c r="N949" s="30"/>
      <c r="AB949" s="30"/>
      <c r="AP949" s="30"/>
      <c r="BD949" s="30"/>
    </row>
    <row r="950" ht="15.75" customHeight="1">
      <c r="N950" s="30"/>
      <c r="AB950" s="30"/>
      <c r="AP950" s="30"/>
      <c r="BD950" s="30"/>
    </row>
    <row r="951" ht="15.75" customHeight="1">
      <c r="N951" s="30"/>
      <c r="AB951" s="30"/>
      <c r="AP951" s="30"/>
      <c r="BD951" s="30"/>
    </row>
    <row r="952" ht="15.75" customHeight="1">
      <c r="N952" s="30"/>
      <c r="AB952" s="30"/>
      <c r="AP952" s="30"/>
      <c r="BD952" s="30"/>
    </row>
    <row r="953" ht="15.75" customHeight="1">
      <c r="N953" s="30"/>
      <c r="AB953" s="30"/>
      <c r="AP953" s="30"/>
      <c r="BD953" s="30"/>
    </row>
    <row r="954" ht="15.75" customHeight="1">
      <c r="N954" s="30"/>
      <c r="AB954" s="30"/>
      <c r="AP954" s="30"/>
      <c r="BD954" s="30"/>
    </row>
    <row r="955" ht="15.75" customHeight="1">
      <c r="N955" s="30"/>
      <c r="AB955" s="30"/>
      <c r="AP955" s="30"/>
      <c r="BD955" s="30"/>
    </row>
    <row r="956" ht="15.75" customHeight="1">
      <c r="N956" s="30"/>
      <c r="AB956" s="30"/>
      <c r="AP956" s="30"/>
      <c r="BD956" s="30"/>
    </row>
    <row r="957" ht="15.75" customHeight="1">
      <c r="N957" s="30"/>
      <c r="AB957" s="30"/>
      <c r="AP957" s="30"/>
      <c r="BD957" s="30"/>
    </row>
    <row r="958" ht="15.75" customHeight="1">
      <c r="N958" s="30"/>
      <c r="AB958" s="30"/>
      <c r="AP958" s="30"/>
      <c r="BD958" s="30"/>
    </row>
    <row r="959" ht="15.75" customHeight="1">
      <c r="N959" s="30"/>
      <c r="AB959" s="30"/>
      <c r="AP959" s="30"/>
      <c r="BD959" s="30"/>
    </row>
    <row r="960" ht="15.75" customHeight="1">
      <c r="N960" s="30"/>
      <c r="AB960" s="30"/>
      <c r="AP960" s="30"/>
      <c r="BD960" s="30"/>
    </row>
    <row r="961" ht="15.75" customHeight="1">
      <c r="N961" s="30"/>
      <c r="AB961" s="30"/>
      <c r="AP961" s="30"/>
      <c r="BD961" s="30"/>
    </row>
    <row r="962" ht="15.75" customHeight="1">
      <c r="N962" s="30"/>
      <c r="AB962" s="30"/>
      <c r="AP962" s="30"/>
      <c r="BD962" s="30"/>
    </row>
    <row r="963" ht="15.75" customHeight="1">
      <c r="N963" s="30"/>
      <c r="AB963" s="30"/>
      <c r="AP963" s="30"/>
      <c r="BD963" s="30"/>
    </row>
    <row r="964" ht="15.75" customHeight="1">
      <c r="N964" s="30"/>
      <c r="AB964" s="30"/>
      <c r="AP964" s="30"/>
      <c r="BD964" s="30"/>
    </row>
    <row r="965" ht="15.75" customHeight="1">
      <c r="N965" s="30"/>
      <c r="AB965" s="30"/>
      <c r="AP965" s="30"/>
      <c r="BD965" s="30"/>
    </row>
    <row r="966" ht="15.75" customHeight="1">
      <c r="N966" s="30"/>
      <c r="AB966" s="30"/>
      <c r="AP966" s="30"/>
      <c r="BD966" s="30"/>
    </row>
    <row r="967" ht="15.75" customHeight="1">
      <c r="N967" s="30"/>
      <c r="AB967" s="30"/>
      <c r="AP967" s="30"/>
      <c r="BD967" s="30"/>
    </row>
    <row r="968" ht="15.75" customHeight="1">
      <c r="N968" s="30"/>
      <c r="AB968" s="30"/>
      <c r="AP968" s="30"/>
      <c r="BD968" s="30"/>
    </row>
    <row r="969" ht="15.75" customHeight="1">
      <c r="N969" s="30"/>
      <c r="AB969" s="30"/>
      <c r="AP969" s="30"/>
      <c r="BD969" s="30"/>
    </row>
    <row r="970" ht="15.75" customHeight="1">
      <c r="N970" s="30"/>
      <c r="AB970" s="30"/>
      <c r="AP970" s="30"/>
      <c r="BD970" s="30"/>
    </row>
    <row r="971" ht="15.75" customHeight="1">
      <c r="N971" s="30"/>
      <c r="AB971" s="30"/>
      <c r="AP971" s="30"/>
      <c r="BD971" s="30"/>
    </row>
    <row r="972" ht="15.75" customHeight="1">
      <c r="N972" s="30"/>
      <c r="AB972" s="30"/>
      <c r="AP972" s="30"/>
      <c r="BD972" s="30"/>
    </row>
    <row r="973" ht="15.75" customHeight="1">
      <c r="N973" s="30"/>
      <c r="AB973" s="30"/>
      <c r="AP973" s="30"/>
      <c r="BD973" s="30"/>
    </row>
    <row r="974" ht="15.75" customHeight="1">
      <c r="N974" s="30"/>
      <c r="AB974" s="30"/>
      <c r="AP974" s="30"/>
      <c r="BD974" s="30"/>
    </row>
    <row r="975" ht="15.75" customHeight="1">
      <c r="N975" s="30"/>
      <c r="AB975" s="30"/>
      <c r="AP975" s="30"/>
      <c r="BD975" s="30"/>
    </row>
    <row r="976" ht="15.75" customHeight="1">
      <c r="N976" s="30"/>
      <c r="AB976" s="30"/>
      <c r="AP976" s="30"/>
      <c r="BD976" s="30"/>
    </row>
    <row r="977" ht="15.75" customHeight="1">
      <c r="N977" s="30"/>
      <c r="AB977" s="30"/>
      <c r="AP977" s="30"/>
      <c r="BD977" s="30"/>
    </row>
    <row r="978" ht="15.75" customHeight="1">
      <c r="N978" s="30"/>
      <c r="AB978" s="30"/>
      <c r="AP978" s="30"/>
      <c r="BD978" s="30"/>
    </row>
    <row r="979" ht="15.75" customHeight="1">
      <c r="N979" s="30"/>
      <c r="AB979" s="30"/>
      <c r="AP979" s="30"/>
      <c r="BD979" s="30"/>
    </row>
    <row r="980" ht="15.75" customHeight="1">
      <c r="N980" s="30"/>
      <c r="AB980" s="30"/>
      <c r="AP980" s="30"/>
      <c r="BD980" s="30"/>
    </row>
    <row r="981" ht="15.75" customHeight="1">
      <c r="N981" s="30"/>
      <c r="AB981" s="30"/>
      <c r="AP981" s="30"/>
      <c r="BD981" s="30"/>
    </row>
    <row r="982" ht="15.75" customHeight="1">
      <c r="N982" s="30"/>
      <c r="AB982" s="30"/>
      <c r="AP982" s="30"/>
      <c r="BD982" s="30"/>
    </row>
    <row r="983" ht="15.75" customHeight="1">
      <c r="N983" s="30"/>
      <c r="AB983" s="30"/>
      <c r="AP983" s="30"/>
      <c r="BD983" s="30"/>
    </row>
    <row r="984" ht="15.75" customHeight="1">
      <c r="N984" s="30"/>
      <c r="AB984" s="30"/>
      <c r="AP984" s="30"/>
      <c r="BD984" s="30"/>
    </row>
    <row r="985" ht="15.75" customHeight="1">
      <c r="N985" s="30"/>
      <c r="AB985" s="30"/>
      <c r="AP985" s="30"/>
      <c r="BD985" s="30"/>
    </row>
    <row r="986" ht="15.75" customHeight="1">
      <c r="N986" s="30"/>
      <c r="AB986" s="30"/>
      <c r="AP986" s="30"/>
      <c r="BD986" s="30"/>
    </row>
    <row r="987" ht="15.75" customHeight="1">
      <c r="N987" s="30"/>
      <c r="AB987" s="30"/>
      <c r="AP987" s="30"/>
      <c r="BD987" s="30"/>
    </row>
    <row r="988" ht="15.75" customHeight="1">
      <c r="N988" s="30"/>
      <c r="AB988" s="30"/>
      <c r="AP988" s="30"/>
      <c r="BD988" s="30"/>
    </row>
    <row r="989" ht="15.75" customHeight="1">
      <c r="N989" s="30"/>
      <c r="AB989" s="30"/>
      <c r="AP989" s="30"/>
      <c r="BD989" s="30"/>
    </row>
    <row r="990" ht="15.75" customHeight="1">
      <c r="N990" s="30"/>
      <c r="AB990" s="30"/>
      <c r="AP990" s="30"/>
      <c r="BD990" s="30"/>
    </row>
    <row r="991" ht="15.75" customHeight="1">
      <c r="N991" s="30"/>
      <c r="AB991" s="30"/>
      <c r="AP991" s="30"/>
      <c r="BD991" s="30"/>
    </row>
    <row r="992" ht="15.75" customHeight="1">
      <c r="N992" s="30"/>
      <c r="AB992" s="30"/>
      <c r="AP992" s="30"/>
      <c r="BD992" s="30"/>
    </row>
    <row r="993" ht="15.75" customHeight="1">
      <c r="N993" s="30"/>
      <c r="AB993" s="30"/>
      <c r="AP993" s="30"/>
      <c r="BD993" s="30"/>
    </row>
    <row r="994" ht="15.75" customHeight="1">
      <c r="N994" s="30"/>
      <c r="AB994" s="30"/>
      <c r="AP994" s="30"/>
      <c r="BD994" s="30"/>
    </row>
    <row r="995" ht="15.75" customHeight="1">
      <c r="N995" s="30"/>
      <c r="AB995" s="30"/>
      <c r="AP995" s="30"/>
      <c r="BD995" s="30"/>
    </row>
    <row r="996" ht="15.75" customHeight="1">
      <c r="N996" s="30"/>
      <c r="AB996" s="30"/>
      <c r="AP996" s="30"/>
      <c r="BD996" s="30"/>
    </row>
    <row r="997" ht="15.75" customHeight="1">
      <c r="N997" s="30"/>
      <c r="AB997" s="30"/>
      <c r="AP997" s="30"/>
      <c r="BD997" s="30"/>
    </row>
    <row r="998" ht="15.75" customHeight="1">
      <c r="N998" s="30"/>
      <c r="AB998" s="30"/>
      <c r="AP998" s="30"/>
      <c r="BD998" s="30"/>
    </row>
    <row r="999" ht="15.75" customHeight="1">
      <c r="N999" s="30"/>
      <c r="AB999" s="30"/>
      <c r="AP999" s="30"/>
      <c r="BD999" s="30"/>
    </row>
    <row r="1000" ht="15.75" customHeight="1">
      <c r="N1000" s="30"/>
      <c r="AB1000" s="30"/>
      <c r="AP1000" s="30"/>
      <c r="BD1000" s="30"/>
    </row>
  </sheetData>
  <printOptions/>
  <pageMargins bottom="0.7480314960629921" footer="0.0" header="0.0" left="0.7086614173228347" right="0.7086614173228347" top="0.7480314960629921"/>
  <pageSetup paperSize="9" orientation="landscape"/>
  <colBreaks count="3" manualBreakCount="3">
    <brk id="43" man="1"/>
    <brk id="29" man="1"/>
    <brk id="1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11.57"/>
    <col customWidth="1" min="3" max="10" width="12.0"/>
    <col customWidth="1" min="11" max="11" width="13.0"/>
    <col customWidth="1" min="12" max="12" width="12.57"/>
    <col customWidth="1" min="13" max="13" width="13.0"/>
    <col customWidth="1" min="14" max="14" width="12.0"/>
    <col customWidth="1" min="15" max="15" width="9.43"/>
    <col customWidth="1" min="16" max="22" width="13.0"/>
    <col customWidth="1" min="23" max="23" width="13.43"/>
    <col customWidth="1" min="24" max="24" width="13.0"/>
    <col customWidth="1" min="25" max="27" width="13.43"/>
    <col customWidth="1" min="28" max="28" width="12.0"/>
    <col customWidth="1" min="29" max="29" width="9.43"/>
    <col customWidth="1" min="30" max="35" width="13.43"/>
    <col customWidth="1" min="36" max="36" width="13.0"/>
    <col customWidth="1" min="37" max="41" width="13.43"/>
    <col customWidth="1" min="42" max="42" width="12.0"/>
    <col customWidth="1" min="43" max="43" width="9.43"/>
    <col customWidth="1" min="44" max="47" width="13.43"/>
    <col customWidth="1" min="48" max="48" width="13.0"/>
    <col customWidth="1" min="49" max="55" width="13.43"/>
    <col customWidth="1" min="56" max="56" width="13.71"/>
  </cols>
  <sheetData>
    <row r="1">
      <c r="A1" s="88" t="str">
        <f>Assumptions!B1</f>
        <v>CONKR.</v>
      </c>
      <c r="N1" s="30"/>
      <c r="AB1" s="30"/>
      <c r="AP1" s="30"/>
      <c r="BD1" s="30"/>
    </row>
    <row r="2">
      <c r="A2" s="30" t="s">
        <v>134</v>
      </c>
      <c r="N2" s="30"/>
      <c r="AB2" s="30"/>
      <c r="AP2" s="30"/>
      <c r="BD2" s="30"/>
    </row>
    <row r="3">
      <c r="N3" s="30"/>
      <c r="AB3" s="30"/>
      <c r="AP3" s="30"/>
      <c r="BD3" s="30"/>
    </row>
    <row r="4">
      <c r="A4" s="89"/>
      <c r="B4" s="89" t="s">
        <v>44</v>
      </c>
      <c r="C4" s="89" t="s">
        <v>45</v>
      </c>
      <c r="D4" s="89" t="s">
        <v>46</v>
      </c>
      <c r="E4" s="89" t="s">
        <v>47</v>
      </c>
      <c r="F4" s="89" t="s">
        <v>48</v>
      </c>
      <c r="G4" s="89" t="s">
        <v>49</v>
      </c>
      <c r="H4" s="89" t="s">
        <v>50</v>
      </c>
      <c r="I4" s="89" t="s">
        <v>51</v>
      </c>
      <c r="J4" s="89" t="s">
        <v>52</v>
      </c>
      <c r="K4" s="89" t="s">
        <v>53</v>
      </c>
      <c r="L4" s="89" t="s">
        <v>54</v>
      </c>
      <c r="M4" s="89" t="s">
        <v>55</v>
      </c>
      <c r="N4" s="89" t="s">
        <v>135</v>
      </c>
      <c r="O4" s="89"/>
      <c r="P4" s="89" t="s">
        <v>59</v>
      </c>
      <c r="Q4" s="89" t="s">
        <v>60</v>
      </c>
      <c r="R4" s="89" t="s">
        <v>61</v>
      </c>
      <c r="S4" s="89" t="s">
        <v>62</v>
      </c>
      <c r="T4" s="89" t="s">
        <v>63</v>
      </c>
      <c r="U4" s="89" t="s">
        <v>64</v>
      </c>
      <c r="V4" s="89" t="s">
        <v>65</v>
      </c>
      <c r="W4" s="89" t="s">
        <v>66</v>
      </c>
      <c r="X4" s="89" t="s">
        <v>67</v>
      </c>
      <c r="Y4" s="89" t="s">
        <v>68</v>
      </c>
      <c r="Z4" s="89" t="s">
        <v>69</v>
      </c>
      <c r="AA4" s="89" t="s">
        <v>70</v>
      </c>
      <c r="AB4" s="89" t="s">
        <v>125</v>
      </c>
      <c r="AC4" s="89"/>
      <c r="AD4" s="89" t="s">
        <v>73</v>
      </c>
      <c r="AE4" s="89" t="s">
        <v>74</v>
      </c>
      <c r="AF4" s="89" t="s">
        <v>75</v>
      </c>
      <c r="AG4" s="89" t="s">
        <v>76</v>
      </c>
      <c r="AH4" s="89" t="s">
        <v>77</v>
      </c>
      <c r="AI4" s="89" t="s">
        <v>78</v>
      </c>
      <c r="AJ4" s="89" t="s">
        <v>79</v>
      </c>
      <c r="AK4" s="89" t="s">
        <v>80</v>
      </c>
      <c r="AL4" s="89" t="s">
        <v>81</v>
      </c>
      <c r="AM4" s="89" t="s">
        <v>82</v>
      </c>
      <c r="AN4" s="89" t="s">
        <v>83</v>
      </c>
      <c r="AO4" s="89" t="s">
        <v>84</v>
      </c>
      <c r="AP4" s="89" t="s">
        <v>125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</row>
    <row r="5">
      <c r="A5" s="30" t="s">
        <v>126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73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73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73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30"/>
    </row>
    <row r="6">
      <c r="A6" s="24" t="s">
        <v>102</v>
      </c>
      <c r="B6" s="79">
        <f>Assumptions!B32</f>
        <v>15000</v>
      </c>
      <c r="C6" s="79" t="str">
        <f>Assumptions!C32</f>
        <v/>
      </c>
      <c r="D6" s="79" t="str">
        <f>Assumptions!D32</f>
        <v/>
      </c>
      <c r="E6" s="79" t="str">
        <f>Assumptions!E32</f>
        <v/>
      </c>
      <c r="F6" s="79" t="str">
        <f>Assumptions!F32</f>
        <v/>
      </c>
      <c r="G6" s="79" t="str">
        <f>Assumptions!G32</f>
        <v/>
      </c>
      <c r="H6" s="79" t="str">
        <f>Assumptions!H32</f>
        <v/>
      </c>
      <c r="I6" s="79" t="str">
        <f>Assumptions!I32</f>
        <v/>
      </c>
      <c r="J6" s="79" t="str">
        <f>Assumptions!J32</f>
        <v/>
      </c>
      <c r="K6" s="79" t="str">
        <f>Assumptions!K32</f>
        <v/>
      </c>
      <c r="L6" s="79" t="str">
        <f>Assumptions!L32</f>
        <v/>
      </c>
      <c r="M6" s="79" t="str">
        <f>Assumptions!M32</f>
        <v/>
      </c>
      <c r="N6" s="82">
        <f t="shared" ref="N6:N8" si="1">SUM(B6:M6)</f>
        <v>15000</v>
      </c>
      <c r="O6" s="79"/>
      <c r="P6" s="79" t="str">
        <f>Assumptions!B35</f>
        <v/>
      </c>
      <c r="Q6" s="79" t="str">
        <f>Assumptions!C35</f>
        <v/>
      </c>
      <c r="R6" s="79" t="str">
        <f>Assumptions!D35</f>
        <v/>
      </c>
      <c r="S6" s="79" t="str">
        <f>Assumptions!E35</f>
        <v/>
      </c>
      <c r="T6" s="79" t="str">
        <f>Assumptions!F35</f>
        <v/>
      </c>
      <c r="U6" s="79" t="str">
        <f>Assumptions!G35</f>
        <v/>
      </c>
      <c r="V6" s="79" t="str">
        <f>Assumptions!H35</f>
        <v/>
      </c>
      <c r="W6" s="79" t="str">
        <f>Assumptions!I35</f>
        <v/>
      </c>
      <c r="X6" s="79" t="str">
        <f>Assumptions!J35</f>
        <v/>
      </c>
      <c r="Y6" s="79" t="str">
        <f>Assumptions!K35</f>
        <v/>
      </c>
      <c r="Z6" s="79" t="str">
        <f>Assumptions!L35</f>
        <v/>
      </c>
      <c r="AA6" s="79" t="str">
        <f>Assumptions!M35</f>
        <v/>
      </c>
      <c r="AB6" s="82">
        <f t="shared" ref="AB6:AB9" si="2">SUM(P6:AA6)</f>
        <v>0</v>
      </c>
      <c r="AC6" s="79"/>
      <c r="AD6" s="79" t="str">
        <f>Assumptions!B38</f>
        <v/>
      </c>
      <c r="AE6" s="79" t="str">
        <f>Assumptions!C38</f>
        <v/>
      </c>
      <c r="AF6" s="79" t="str">
        <f>Assumptions!D38</f>
        <v/>
      </c>
      <c r="AG6" s="79" t="str">
        <f>Assumptions!E38</f>
        <v/>
      </c>
      <c r="AH6" s="79" t="str">
        <f>Assumptions!F38</f>
        <v/>
      </c>
      <c r="AI6" s="79" t="str">
        <f>Assumptions!G38</f>
        <v/>
      </c>
      <c r="AJ6" s="79" t="str">
        <f>Assumptions!H38</f>
        <v/>
      </c>
      <c r="AK6" s="79" t="str">
        <f>Assumptions!I38</f>
        <v/>
      </c>
      <c r="AL6" s="79" t="str">
        <f>Assumptions!J38</f>
        <v/>
      </c>
      <c r="AM6" s="79" t="str">
        <f>Assumptions!K38</f>
        <v/>
      </c>
      <c r="AN6" s="79" t="str">
        <f>Assumptions!L38</f>
        <v/>
      </c>
      <c r="AO6" s="79" t="str">
        <f>Assumptions!M38</f>
        <v/>
      </c>
      <c r="AP6" s="82">
        <f t="shared" ref="AP6:AP8" si="3">SUM(AD6:AO6)</f>
        <v>0</v>
      </c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82"/>
    </row>
    <row r="7">
      <c r="A7" s="24" t="s">
        <v>103</v>
      </c>
      <c r="B7" s="79">
        <f>Assumptions!B33</f>
        <v>150000</v>
      </c>
      <c r="C7" s="79" t="str">
        <f>Assumptions!C33</f>
        <v/>
      </c>
      <c r="D7" s="79" t="str">
        <f>Assumptions!D33</f>
        <v/>
      </c>
      <c r="E7" s="79" t="str">
        <f>Assumptions!E33</f>
        <v/>
      </c>
      <c r="F7" s="79" t="str">
        <f>Assumptions!F33</f>
        <v/>
      </c>
      <c r="G7" s="79">
        <f>Assumptions!G33</f>
        <v>0</v>
      </c>
      <c r="H7" s="79" t="str">
        <f>Assumptions!H33</f>
        <v/>
      </c>
      <c r="I7" s="79" t="str">
        <f>Assumptions!I33</f>
        <v/>
      </c>
      <c r="J7" s="79" t="str">
        <f>Assumptions!J33</f>
        <v/>
      </c>
      <c r="K7" s="79" t="str">
        <f>Assumptions!K33</f>
        <v/>
      </c>
      <c r="L7" s="79" t="str">
        <f>Assumptions!L33</f>
        <v/>
      </c>
      <c r="M7" s="79" t="str">
        <f>Assumptions!M33</f>
        <v/>
      </c>
      <c r="N7" s="82">
        <f t="shared" si="1"/>
        <v>150000</v>
      </c>
      <c r="O7" s="79"/>
      <c r="P7" s="79">
        <f>Assumptions!B36</f>
        <v>0</v>
      </c>
      <c r="Q7" s="79" t="str">
        <f>Assumptions!C36</f>
        <v/>
      </c>
      <c r="R7" s="79" t="str">
        <f>Assumptions!D36</f>
        <v/>
      </c>
      <c r="S7" s="79" t="str">
        <f>Assumptions!E36</f>
        <v/>
      </c>
      <c r="T7" s="79" t="str">
        <f>Assumptions!F36</f>
        <v/>
      </c>
      <c r="U7" s="79" t="str">
        <f>Assumptions!G36</f>
        <v/>
      </c>
      <c r="V7" s="79" t="str">
        <f>Assumptions!H36</f>
        <v/>
      </c>
      <c r="W7" s="79" t="str">
        <f>Assumptions!I36</f>
        <v/>
      </c>
      <c r="X7" s="79" t="str">
        <f>Assumptions!J36</f>
        <v/>
      </c>
      <c r="Y7" s="79" t="str">
        <f>Assumptions!K36</f>
        <v/>
      </c>
      <c r="Z7" s="79" t="str">
        <f>Assumptions!L36</f>
        <v/>
      </c>
      <c r="AA7" s="79" t="str">
        <f>Assumptions!M36</f>
        <v/>
      </c>
      <c r="AB7" s="82">
        <f t="shared" si="2"/>
        <v>0</v>
      </c>
      <c r="AC7" s="79"/>
      <c r="AD7" s="79"/>
      <c r="AE7" s="79" t="str">
        <f>Assumptions!C39</f>
        <v/>
      </c>
      <c r="AF7" s="79" t="str">
        <f>Assumptions!D39</f>
        <v/>
      </c>
      <c r="AG7" s="79" t="str">
        <f>Assumptions!E39</f>
        <v/>
      </c>
      <c r="AH7" s="79" t="str">
        <f>Assumptions!F39</f>
        <v/>
      </c>
      <c r="AI7" s="79" t="str">
        <f>Assumptions!G39</f>
        <v/>
      </c>
      <c r="AJ7" s="79" t="str">
        <f>Assumptions!H39</f>
        <v/>
      </c>
      <c r="AK7" s="79" t="str">
        <f>Assumptions!I39</f>
        <v/>
      </c>
      <c r="AL7" s="79" t="str">
        <f>Assumptions!J39</f>
        <v/>
      </c>
      <c r="AM7" s="79" t="str">
        <f>Assumptions!K39</f>
        <v/>
      </c>
      <c r="AN7" s="79" t="str">
        <f>Assumptions!L39</f>
        <v/>
      </c>
      <c r="AO7" s="79" t="str">
        <f>Assumptions!M39</f>
        <v/>
      </c>
      <c r="AP7" s="82">
        <f t="shared" si="3"/>
        <v>0</v>
      </c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82"/>
    </row>
    <row r="8">
      <c r="A8" s="24" t="str">
        <f>'P&amp;L'!A6</f>
        <v>User income</v>
      </c>
      <c r="B8" s="79">
        <f>'P&amp;L'!B6*1.2</f>
        <v>0</v>
      </c>
      <c r="C8" s="79">
        <f>'P&amp;L'!C6*1.2</f>
        <v>0</v>
      </c>
      <c r="D8" s="79">
        <f>'P&amp;L'!D6*1.2</f>
        <v>0</v>
      </c>
      <c r="E8" s="79">
        <f>'P&amp;L'!E6*1.2</f>
        <v>0</v>
      </c>
      <c r="F8" s="79">
        <f>'P&amp;L'!F6*1.2</f>
        <v>0</v>
      </c>
      <c r="G8" s="79">
        <f>'P&amp;L'!G6*1.2</f>
        <v>0</v>
      </c>
      <c r="H8" s="79">
        <f>'P&amp;L'!H6*1.2</f>
        <v>0</v>
      </c>
      <c r="I8" s="79">
        <f>'P&amp;L'!I6*1.2</f>
        <v>0</v>
      </c>
      <c r="J8" s="79">
        <f>'P&amp;L'!J6*1.2</f>
        <v>0</v>
      </c>
      <c r="K8" s="79">
        <f>'P&amp;L'!K6*1.2</f>
        <v>4225.282997</v>
      </c>
      <c r="L8" s="79">
        <f>'P&amp;L'!L6*1.2</f>
        <v>5405.712189</v>
      </c>
      <c r="M8" s="79">
        <f>'P&amp;L'!M6*1.2</f>
        <v>6908.927335</v>
      </c>
      <c r="N8" s="82">
        <f t="shared" si="1"/>
        <v>16539.92252</v>
      </c>
      <c r="O8" s="79"/>
      <c r="P8" s="79">
        <f>'P&amp;L'!P6*1.2</f>
        <v>8818.798227</v>
      </c>
      <c r="Q8" s="79">
        <f>'P&amp;L'!Q6*1.2</f>
        <v>11238.26053</v>
      </c>
      <c r="R8" s="79">
        <f>'P&amp;L'!R6*1.2</f>
        <v>14291.97191</v>
      </c>
      <c r="S8" s="79">
        <f>'P&amp;L'!S6*1.2</f>
        <v>18128.262</v>
      </c>
      <c r="T8" s="79">
        <f>'P&amp;L'!T6*1.2</f>
        <v>22919.54269</v>
      </c>
      <c r="U8" s="79">
        <f>'P&amp;L'!U6*1.2</f>
        <v>28859.97022</v>
      </c>
      <c r="V8" s="79">
        <f>'P&amp;L'!V6*1.2</f>
        <v>36158.77701</v>
      </c>
      <c r="W8" s="79">
        <f>'P&amp;L'!W6*1.2</f>
        <v>45027.47745</v>
      </c>
      <c r="X8" s="79">
        <f>'P&amp;L'!X6*1.2</f>
        <v>55659.38027</v>
      </c>
      <c r="Y8" s="79">
        <f>'P&amp;L'!Y6*1.2</f>
        <v>68200.88941</v>
      </c>
      <c r="Z8" s="79">
        <f>'P&amp;L'!Z6*1.2</f>
        <v>82716.28325</v>
      </c>
      <c r="AA8" s="79">
        <f>'P&amp;L'!AA6*1.2</f>
        <v>99151.00183</v>
      </c>
      <c r="AB8" s="82">
        <f t="shared" si="2"/>
        <v>491170.6148</v>
      </c>
      <c r="AC8" s="79"/>
      <c r="AD8" s="79">
        <f>'P&amp;L'!AD6*1.2</f>
        <v>117302.1258</v>
      </c>
      <c r="AE8" s="79">
        <f>'P&amp;L'!AE6*1.2</f>
        <v>136806.8931</v>
      </c>
      <c r="AF8" s="79">
        <f>'P&amp;L'!AF6*1.2</f>
        <v>157158.5238</v>
      </c>
      <c r="AG8" s="79">
        <f>'P&amp;L'!AG6*1.2</f>
        <v>177752.1312</v>
      </c>
      <c r="AH8" s="79">
        <f>'P&amp;L'!AH6*1.2</f>
        <v>197953.6686</v>
      </c>
      <c r="AI8" s="79">
        <f>'P&amp;L'!AI6*1.2</f>
        <v>217176.0852</v>
      </c>
      <c r="AJ8" s="79">
        <f>'P&amp;L'!AJ6*1.2</f>
        <v>234943.9427</v>
      </c>
      <c r="AK8" s="79">
        <f>'P&amp;L'!AK6*1.2</f>
        <v>250932.3851</v>
      </c>
      <c r="AL8" s="79">
        <f>'P&amp;L'!AL6*1.2</f>
        <v>264975.8604</v>
      </c>
      <c r="AM8" s="79">
        <f>'P&amp;L'!AM6*1.2</f>
        <v>277051.3437</v>
      </c>
      <c r="AN8" s="79">
        <f>'P&amp;L'!AN6*1.2</f>
        <v>287246.1458</v>
      </c>
      <c r="AO8" s="79">
        <f>'P&amp;L'!AO6*1.2</f>
        <v>295720.8965</v>
      </c>
      <c r="AP8" s="82">
        <f t="shared" si="3"/>
        <v>2615020.002</v>
      </c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82"/>
    </row>
    <row r="9">
      <c r="A9" s="24" t="s">
        <v>136</v>
      </c>
      <c r="B9" s="79"/>
      <c r="C9" s="79"/>
      <c r="D9" s="79"/>
      <c r="E9" s="79">
        <f>IF('Bal Sht'!D9&gt;0,'Bal Sht'!D9,0)</f>
        <v>6250</v>
      </c>
      <c r="F9" s="79"/>
      <c r="G9" s="79"/>
      <c r="H9" s="79">
        <f>IF('Bal Sht'!G9&gt;0,'Bal Sht'!G9,0)</f>
        <v>4750</v>
      </c>
      <c r="I9" s="79"/>
      <c r="J9" s="79"/>
      <c r="K9" s="79">
        <f>IF('Bal Sht'!J9&gt;0,'Bal Sht'!J9,0)</f>
        <v>4750</v>
      </c>
      <c r="L9" s="79"/>
      <c r="M9" s="79"/>
      <c r="N9" s="82">
        <f>SUM(B9:L9)</f>
        <v>15750</v>
      </c>
      <c r="O9" s="79"/>
      <c r="P9" s="79">
        <f>IF('Bal Sht'!M9&gt;0,'Bal Sht'!M9,0)</f>
        <v>2020.912784</v>
      </c>
      <c r="Q9" s="79"/>
      <c r="R9" s="79"/>
      <c r="S9" s="79">
        <f>IF('Bal Sht'!R9&gt;0,'Bal Sht'!R9,0)</f>
        <v>0</v>
      </c>
      <c r="T9" s="79"/>
      <c r="U9" s="79"/>
      <c r="V9" s="79">
        <f>IF('Bal Sht'!U9&gt;0,'Bal Sht'!U9,0)</f>
        <v>0</v>
      </c>
      <c r="W9" s="79"/>
      <c r="X9" s="79"/>
      <c r="Y9" s="79">
        <f>IF('Bal Sht'!X9&gt;0,'Bal Sht'!X9,0)</f>
        <v>0</v>
      </c>
      <c r="Z9" s="79"/>
      <c r="AA9" s="79"/>
      <c r="AB9" s="82">
        <f t="shared" si="2"/>
        <v>2020.912784</v>
      </c>
      <c r="AC9" s="79"/>
      <c r="AD9" s="79">
        <f>IF('Bal Sht'!AA9&gt;0,'Bal Sht'!AA9,0)</f>
        <v>0</v>
      </c>
      <c r="AE9" s="79"/>
      <c r="AF9" s="79"/>
      <c r="AG9" s="79">
        <f>IF('Bal Sht'!AF9&gt;0,'Bal Sht'!AF9,0)</f>
        <v>0</v>
      </c>
      <c r="AH9" s="79"/>
      <c r="AI9" s="79"/>
      <c r="AJ9" s="79">
        <f>IF('Bal Sht'!AI9&gt;0,'Bal Sht'!AI9,0)</f>
        <v>0</v>
      </c>
      <c r="AK9" s="79"/>
      <c r="AL9" s="79"/>
      <c r="AM9" s="79">
        <f>IF('Bal Sht'!AL9&gt;0,'Bal Sht'!AL9,0)</f>
        <v>0</v>
      </c>
      <c r="AN9" s="79"/>
      <c r="AO9" s="79"/>
      <c r="AP9" s="82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82"/>
    </row>
    <row r="10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82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82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2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82"/>
    </row>
    <row r="11">
      <c r="A11" s="30" t="s">
        <v>125</v>
      </c>
      <c r="B11" s="93">
        <f t="shared" ref="B11:M11" si="4">SUM(B6:B9)</f>
        <v>165000</v>
      </c>
      <c r="C11" s="93">
        <f t="shared" si="4"/>
        <v>0</v>
      </c>
      <c r="D11" s="93">
        <f t="shared" si="4"/>
        <v>0</v>
      </c>
      <c r="E11" s="93">
        <f t="shared" si="4"/>
        <v>6250</v>
      </c>
      <c r="F11" s="93">
        <f t="shared" si="4"/>
        <v>0</v>
      </c>
      <c r="G11" s="93">
        <f t="shared" si="4"/>
        <v>0</v>
      </c>
      <c r="H11" s="93">
        <f t="shared" si="4"/>
        <v>4750</v>
      </c>
      <c r="I11" s="93">
        <f t="shared" si="4"/>
        <v>0</v>
      </c>
      <c r="J11" s="93">
        <f t="shared" si="4"/>
        <v>0</v>
      </c>
      <c r="K11" s="93">
        <f t="shared" si="4"/>
        <v>8975.282997</v>
      </c>
      <c r="L11" s="93">
        <f t="shared" si="4"/>
        <v>5405.712189</v>
      </c>
      <c r="M11" s="93">
        <f t="shared" si="4"/>
        <v>6908.927335</v>
      </c>
      <c r="N11" s="80">
        <f>SUM(B11:M11)</f>
        <v>197289.9225</v>
      </c>
      <c r="O11" s="79"/>
      <c r="P11" s="93">
        <f t="shared" ref="P11:AA11" si="5">SUM(P6:P9)</f>
        <v>10839.71101</v>
      </c>
      <c r="Q11" s="93">
        <f t="shared" si="5"/>
        <v>11238.26053</v>
      </c>
      <c r="R11" s="93">
        <f t="shared" si="5"/>
        <v>14291.97191</v>
      </c>
      <c r="S11" s="93">
        <f t="shared" si="5"/>
        <v>18128.262</v>
      </c>
      <c r="T11" s="93">
        <f t="shared" si="5"/>
        <v>22919.54269</v>
      </c>
      <c r="U11" s="93">
        <f t="shared" si="5"/>
        <v>28859.97022</v>
      </c>
      <c r="V11" s="93">
        <f t="shared" si="5"/>
        <v>36158.77701</v>
      </c>
      <c r="W11" s="93">
        <f t="shared" si="5"/>
        <v>45027.47745</v>
      </c>
      <c r="X11" s="93">
        <f t="shared" si="5"/>
        <v>55659.38027</v>
      </c>
      <c r="Y11" s="93">
        <f t="shared" si="5"/>
        <v>68200.88941</v>
      </c>
      <c r="Z11" s="93">
        <f t="shared" si="5"/>
        <v>82716.28325</v>
      </c>
      <c r="AA11" s="93">
        <f t="shared" si="5"/>
        <v>99151.00183</v>
      </c>
      <c r="AB11" s="80">
        <f>SUM(P11:AA11)</f>
        <v>493191.5276</v>
      </c>
      <c r="AC11" s="79"/>
      <c r="AD11" s="93">
        <f t="shared" ref="AD11:AO11" si="6">SUM(AD6:AD9)</f>
        <v>117302.1258</v>
      </c>
      <c r="AE11" s="93">
        <f t="shared" si="6"/>
        <v>136806.8931</v>
      </c>
      <c r="AF11" s="93">
        <f t="shared" si="6"/>
        <v>157158.5238</v>
      </c>
      <c r="AG11" s="93">
        <f t="shared" si="6"/>
        <v>177752.1312</v>
      </c>
      <c r="AH11" s="93">
        <f t="shared" si="6"/>
        <v>197953.6686</v>
      </c>
      <c r="AI11" s="93">
        <f t="shared" si="6"/>
        <v>217176.0852</v>
      </c>
      <c r="AJ11" s="93">
        <f t="shared" si="6"/>
        <v>234943.9427</v>
      </c>
      <c r="AK11" s="93">
        <f t="shared" si="6"/>
        <v>250932.3851</v>
      </c>
      <c r="AL11" s="93">
        <f t="shared" si="6"/>
        <v>264975.8604</v>
      </c>
      <c r="AM11" s="93">
        <f t="shared" si="6"/>
        <v>277051.3437</v>
      </c>
      <c r="AN11" s="93">
        <f t="shared" si="6"/>
        <v>287246.1458</v>
      </c>
      <c r="AO11" s="93">
        <f t="shared" si="6"/>
        <v>295720.8965</v>
      </c>
      <c r="AP11" s="80">
        <f>SUM(AD11:AO11)</f>
        <v>2615020.002</v>
      </c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82"/>
    </row>
    <row r="12"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82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82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2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82"/>
    </row>
    <row r="13">
      <c r="A13" s="30" t="s">
        <v>90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82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82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2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82"/>
    </row>
    <row r="14">
      <c r="A14" s="94" t="str">
        <f>'P&amp;L'!A11</f>
        <v>Direct Selling costs</v>
      </c>
      <c r="B14" s="79">
        <f>'P&amp;L'!B11*1.2</f>
        <v>0</v>
      </c>
      <c r="C14" s="79">
        <f>'P&amp;L'!C11*1.2</f>
        <v>0</v>
      </c>
      <c r="D14" s="79">
        <f>'P&amp;L'!D11*1.2</f>
        <v>0</v>
      </c>
      <c r="E14" s="79">
        <f>'P&amp;L'!E11*1.2</f>
        <v>0</v>
      </c>
      <c r="F14" s="79">
        <f>'P&amp;L'!F11*1.2</f>
        <v>0</v>
      </c>
      <c r="G14" s="79">
        <f>'P&amp;L'!G11*1.2</f>
        <v>0</v>
      </c>
      <c r="H14" s="79">
        <f>'P&amp;L'!H11*1.2</f>
        <v>0</v>
      </c>
      <c r="I14" s="79">
        <f>'P&amp;L'!I11*1.2</f>
        <v>0</v>
      </c>
      <c r="J14" s="79">
        <f>'P&amp;L'!J11*1.2</f>
        <v>0</v>
      </c>
      <c r="K14" s="79">
        <f>'P&amp;L'!K11*1.2</f>
        <v>42.25282997</v>
      </c>
      <c r="L14" s="79">
        <f>'P&amp;L'!L11*1.2</f>
        <v>54.05712189</v>
      </c>
      <c r="M14" s="79">
        <f>'P&amp;L'!M11*1.2</f>
        <v>69.08927335</v>
      </c>
      <c r="N14" s="82">
        <f>'P&amp;L'!N11*1.2</f>
        <v>165.3992252</v>
      </c>
      <c r="O14" s="79"/>
      <c r="P14" s="79">
        <f>'P&amp;L'!P11*1.2</f>
        <v>88.18798227</v>
      </c>
      <c r="Q14" s="79">
        <f>'P&amp;L'!Q11*1.2</f>
        <v>112.3826053</v>
      </c>
      <c r="R14" s="79">
        <f>'P&amp;L'!R11*1.2</f>
        <v>142.9197191</v>
      </c>
      <c r="S14" s="79">
        <f>'P&amp;L'!S11*1.2</f>
        <v>181.28262</v>
      </c>
      <c r="T14" s="79">
        <f>'P&amp;L'!T11*1.2</f>
        <v>229.1954269</v>
      </c>
      <c r="U14" s="79">
        <f>'P&amp;L'!U11*1.2</f>
        <v>288.5997022</v>
      </c>
      <c r="V14" s="79">
        <f>'P&amp;L'!V11*1.2</f>
        <v>361.5877701</v>
      </c>
      <c r="W14" s="79">
        <f>'P&amp;L'!W11*1.2</f>
        <v>450.2747745</v>
      </c>
      <c r="X14" s="79">
        <f>'P&amp;L'!X11*1.2</f>
        <v>556.5938027</v>
      </c>
      <c r="Y14" s="79">
        <f>'P&amp;L'!Y11*1.2</f>
        <v>682.0088941</v>
      </c>
      <c r="Z14" s="79">
        <f>'P&amp;L'!Z11*1.2</f>
        <v>827.1628325</v>
      </c>
      <c r="AA14" s="79">
        <f>'P&amp;L'!AA11*1.2</f>
        <v>991.5100183</v>
      </c>
      <c r="AB14" s="82">
        <f>'P&amp;L'!AB11*1.2</f>
        <v>4911.706148</v>
      </c>
      <c r="AC14" s="79"/>
      <c r="AD14" s="79">
        <f>'P&amp;L'!AD11*1.2</f>
        <v>1173.021258</v>
      </c>
      <c r="AE14" s="79">
        <f>'P&amp;L'!AE11*1.2</f>
        <v>1368.068931</v>
      </c>
      <c r="AF14" s="79">
        <f>'P&amp;L'!AF11*1.2</f>
        <v>1571.585238</v>
      </c>
      <c r="AG14" s="79">
        <f>'P&amp;L'!AG11*1.2</f>
        <v>1777.521312</v>
      </c>
      <c r="AH14" s="79">
        <f>'P&amp;L'!AH11*1.2</f>
        <v>1979.536686</v>
      </c>
      <c r="AI14" s="79">
        <f>'P&amp;L'!AI11*1.2</f>
        <v>2171.760852</v>
      </c>
      <c r="AJ14" s="79">
        <f>'P&amp;L'!AJ11*1.2</f>
        <v>2349.439427</v>
      </c>
      <c r="AK14" s="79">
        <f>'P&amp;L'!AK11*1.2</f>
        <v>2509.323851</v>
      </c>
      <c r="AL14" s="79">
        <f>'P&amp;L'!AL11*1.2</f>
        <v>2649.758604</v>
      </c>
      <c r="AM14" s="79">
        <f>'P&amp;L'!AM11*1.2</f>
        <v>2770.513437</v>
      </c>
      <c r="AN14" s="79">
        <f>'P&amp;L'!AN11*1.2</f>
        <v>2872.461458</v>
      </c>
      <c r="AO14" s="79">
        <f>'P&amp;L'!AO11*1.2</f>
        <v>2957.208965</v>
      </c>
      <c r="AP14" s="82">
        <f>'P&amp;L'!AP11*1.2</f>
        <v>26150.20002</v>
      </c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82"/>
    </row>
    <row r="15">
      <c r="A15" s="24" t="str">
        <f>Assumptions!A20</f>
        <v>CEO</v>
      </c>
      <c r="B15" s="79">
        <f>Assumptions!$B20/12*0.8</f>
        <v>1333.333333</v>
      </c>
      <c r="C15" s="79">
        <f>Assumptions!$B20/12*0.8</f>
        <v>1333.333333</v>
      </c>
      <c r="D15" s="79">
        <f>Assumptions!$B20/12*0.8</f>
        <v>1333.333333</v>
      </c>
      <c r="E15" s="79">
        <f>Assumptions!$B20/12*0.8</f>
        <v>1333.333333</v>
      </c>
      <c r="F15" s="79">
        <f>Assumptions!$B20/12*0.8</f>
        <v>1333.333333</v>
      </c>
      <c r="G15" s="79">
        <f>Assumptions!$B20/12*0.8</f>
        <v>1333.333333</v>
      </c>
      <c r="H15" s="79">
        <f>Assumptions!$B20/12*0.8</f>
        <v>1333.333333</v>
      </c>
      <c r="I15" s="79">
        <f>Assumptions!$B20/12*0.8</f>
        <v>1333.333333</v>
      </c>
      <c r="J15" s="79">
        <f>Assumptions!$B20/12*0.8</f>
        <v>1333.333333</v>
      </c>
      <c r="K15" s="79">
        <f>Assumptions!$B20/12*0.8</f>
        <v>1333.333333</v>
      </c>
      <c r="L15" s="79">
        <f>Assumptions!$B20/12*0.8</f>
        <v>1333.333333</v>
      </c>
      <c r="M15" s="79">
        <f>Assumptions!$B20/12*0.8</f>
        <v>1333.333333</v>
      </c>
      <c r="N15" s="82">
        <f t="shared" ref="N15:N31" si="7">SUM(B15:M15)</f>
        <v>16000</v>
      </c>
      <c r="O15" s="79"/>
      <c r="P15" s="79">
        <f>(Assumptions!$C20/12)*0.8</f>
        <v>1666.666667</v>
      </c>
      <c r="Q15" s="79">
        <f>(Assumptions!$C20/12)*0.8</f>
        <v>1666.666667</v>
      </c>
      <c r="R15" s="79">
        <f>(Assumptions!$C20/12)*0.8</f>
        <v>1666.666667</v>
      </c>
      <c r="S15" s="79">
        <f>(Assumptions!$C20/12)*0.8</f>
        <v>1666.666667</v>
      </c>
      <c r="T15" s="79">
        <f>(Assumptions!$C20/12)*0.8</f>
        <v>1666.666667</v>
      </c>
      <c r="U15" s="79">
        <f>(Assumptions!$C20/12)*0.8</f>
        <v>1666.666667</v>
      </c>
      <c r="V15" s="79">
        <f>(Assumptions!$C20/12)*0.8</f>
        <v>1666.666667</v>
      </c>
      <c r="W15" s="79">
        <f>(Assumptions!$C20/12)*0.8</f>
        <v>1666.666667</v>
      </c>
      <c r="X15" s="79">
        <f>(Assumptions!$C20/12)*0.8</f>
        <v>1666.666667</v>
      </c>
      <c r="Y15" s="79">
        <f>(Assumptions!$C20/12)*0.8</f>
        <v>1666.666667</v>
      </c>
      <c r="Z15" s="79">
        <f>(Assumptions!$C20/12)*0.8</f>
        <v>1666.666667</v>
      </c>
      <c r="AA15" s="79">
        <f>(Assumptions!$C20/12)*0.8</f>
        <v>1666.666667</v>
      </c>
      <c r="AB15" s="82">
        <f t="shared" ref="AB15:AB31" si="8">SUM(P15:AA15)</f>
        <v>20000</v>
      </c>
      <c r="AC15" s="79"/>
      <c r="AD15" s="79">
        <f>(Assumptions!$D20/12)*0.8</f>
        <v>2666.666667</v>
      </c>
      <c r="AE15" s="79">
        <f>(Assumptions!$D20/12)*0.8</f>
        <v>2666.666667</v>
      </c>
      <c r="AF15" s="79">
        <f>(Assumptions!$D20/12)*0.8</f>
        <v>2666.666667</v>
      </c>
      <c r="AG15" s="79">
        <f>(Assumptions!$D20/12)*0.8</f>
        <v>2666.666667</v>
      </c>
      <c r="AH15" s="79">
        <f>(Assumptions!$D20/12)*0.8</f>
        <v>2666.666667</v>
      </c>
      <c r="AI15" s="79">
        <f>(Assumptions!$D20/12)*0.8</f>
        <v>2666.666667</v>
      </c>
      <c r="AJ15" s="79">
        <f>(Assumptions!$D20/12)*0.8</f>
        <v>2666.666667</v>
      </c>
      <c r="AK15" s="79">
        <f>(Assumptions!$D20/12)*0.8</f>
        <v>2666.666667</v>
      </c>
      <c r="AL15" s="79">
        <f>(Assumptions!$D20/12)*0.8</f>
        <v>2666.666667</v>
      </c>
      <c r="AM15" s="79">
        <f>(Assumptions!$D20/12)*0.8</f>
        <v>2666.666667</v>
      </c>
      <c r="AN15" s="79">
        <f>(Assumptions!$D20/12)*0.8</f>
        <v>2666.666667</v>
      </c>
      <c r="AO15" s="79">
        <f>(Assumptions!$D20/12)*0.8</f>
        <v>2666.666667</v>
      </c>
      <c r="AP15" s="82">
        <f t="shared" ref="AP15:AP31" si="9">SUM(AD15:AO15)</f>
        <v>32000</v>
      </c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82"/>
    </row>
    <row r="16">
      <c r="A16" s="24" t="str">
        <f>Assumptions!A21</f>
        <v>Administration</v>
      </c>
      <c r="B16" s="79">
        <f>Assumptions!$B21/12*0.8</f>
        <v>0</v>
      </c>
      <c r="C16" s="79">
        <f>Assumptions!$B21/12*0.8</f>
        <v>0</v>
      </c>
      <c r="D16" s="79">
        <f>Assumptions!$B21/12*0.8</f>
        <v>0</v>
      </c>
      <c r="E16" s="79">
        <f>Assumptions!$B21/12*0.8</f>
        <v>0</v>
      </c>
      <c r="F16" s="79">
        <f>Assumptions!$B21/12*0.8</f>
        <v>0</v>
      </c>
      <c r="G16" s="79">
        <f>Assumptions!$B21/12*0.8</f>
        <v>0</v>
      </c>
      <c r="H16" s="79">
        <f>Assumptions!$B21/12*0.8</f>
        <v>0</v>
      </c>
      <c r="I16" s="79">
        <f>Assumptions!$B21/12*0.8</f>
        <v>0</v>
      </c>
      <c r="J16" s="79">
        <f>Assumptions!$B21/12*0.8</f>
        <v>0</v>
      </c>
      <c r="K16" s="79">
        <f>Assumptions!$B21/12*0.8</f>
        <v>0</v>
      </c>
      <c r="L16" s="79">
        <f>Assumptions!$B21/12*0.8</f>
        <v>0</v>
      </c>
      <c r="M16" s="79">
        <f>Assumptions!$B21/12*0.8</f>
        <v>0</v>
      </c>
      <c r="N16" s="82">
        <f t="shared" si="7"/>
        <v>0</v>
      </c>
      <c r="O16" s="79"/>
      <c r="P16" s="79">
        <f>(Assumptions!$C21/12)*0.8</f>
        <v>333.3333333</v>
      </c>
      <c r="Q16" s="79">
        <f>(Assumptions!$C21/12)*0.8</f>
        <v>333.3333333</v>
      </c>
      <c r="R16" s="79">
        <f>(Assumptions!$C21/12)*0.8</f>
        <v>333.3333333</v>
      </c>
      <c r="S16" s="79">
        <f>(Assumptions!$C21/12)*0.8</f>
        <v>333.3333333</v>
      </c>
      <c r="T16" s="79">
        <f>(Assumptions!$C21/12)*0.8</f>
        <v>333.3333333</v>
      </c>
      <c r="U16" s="79">
        <f>(Assumptions!$C21/12)*0.8</f>
        <v>333.3333333</v>
      </c>
      <c r="V16" s="79">
        <f>(Assumptions!$C21/12)*0.8</f>
        <v>333.3333333</v>
      </c>
      <c r="W16" s="79">
        <f>(Assumptions!$C21/12)*0.8</f>
        <v>333.3333333</v>
      </c>
      <c r="X16" s="79">
        <f>(Assumptions!$C21/12)*0.8</f>
        <v>333.3333333</v>
      </c>
      <c r="Y16" s="79">
        <f>(Assumptions!$C21/12)*0.8</f>
        <v>333.3333333</v>
      </c>
      <c r="Z16" s="79">
        <f>(Assumptions!$C21/12)*0.8</f>
        <v>333.3333333</v>
      </c>
      <c r="AA16" s="79">
        <f>(Assumptions!$C21/12)*0.8</f>
        <v>333.3333333</v>
      </c>
      <c r="AB16" s="82">
        <f t="shared" si="8"/>
        <v>4000</v>
      </c>
      <c r="AC16" s="79"/>
      <c r="AD16" s="79">
        <f>(Assumptions!$D21/12)*0.8</f>
        <v>333.3333333</v>
      </c>
      <c r="AE16" s="79">
        <f>(Assumptions!$D21/12)*0.8</f>
        <v>333.3333333</v>
      </c>
      <c r="AF16" s="79">
        <f>(Assumptions!$D21/12)*0.8</f>
        <v>333.3333333</v>
      </c>
      <c r="AG16" s="79">
        <f>(Assumptions!$D21/12)*0.8</f>
        <v>333.3333333</v>
      </c>
      <c r="AH16" s="79">
        <f>(Assumptions!$D21/12)*0.8</f>
        <v>333.3333333</v>
      </c>
      <c r="AI16" s="79">
        <f>(Assumptions!$D21/12)*0.8</f>
        <v>333.3333333</v>
      </c>
      <c r="AJ16" s="79">
        <f>(Assumptions!$D21/12)*0.8</f>
        <v>333.3333333</v>
      </c>
      <c r="AK16" s="79">
        <f>(Assumptions!$D21/12)*0.8</f>
        <v>333.3333333</v>
      </c>
      <c r="AL16" s="79">
        <f>(Assumptions!$D21/12)*0.8</f>
        <v>333.3333333</v>
      </c>
      <c r="AM16" s="79">
        <f>(Assumptions!$D21/12)*0.8</f>
        <v>333.3333333</v>
      </c>
      <c r="AN16" s="79">
        <f>(Assumptions!$D21/12)*0.8</f>
        <v>333.3333333</v>
      </c>
      <c r="AO16" s="79">
        <f>(Assumptions!$D21/12)*0.8</f>
        <v>333.3333333</v>
      </c>
      <c r="AP16" s="82">
        <f t="shared" si="9"/>
        <v>4000</v>
      </c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82"/>
    </row>
    <row r="17">
      <c r="A17" s="24" t="str">
        <f>Assumptions!A22</f>
        <v>Other Staff Costs</v>
      </c>
      <c r="B17" s="79">
        <f>Assumptions!$B22/12*0.8</f>
        <v>2666.666667</v>
      </c>
      <c r="C17" s="79">
        <f>Assumptions!$B22/12*0.8</f>
        <v>2666.666667</v>
      </c>
      <c r="D17" s="79">
        <f>Assumptions!$B22/12*0.8</f>
        <v>2666.666667</v>
      </c>
      <c r="E17" s="79">
        <f>Assumptions!$B22/12*0.8</f>
        <v>2666.666667</v>
      </c>
      <c r="F17" s="79">
        <f>Assumptions!$B22/12*0.8</f>
        <v>2666.666667</v>
      </c>
      <c r="G17" s="79">
        <f>Assumptions!$B22/12*0.8</f>
        <v>2666.666667</v>
      </c>
      <c r="H17" s="79">
        <f>Assumptions!$B22/12*0.8</f>
        <v>2666.666667</v>
      </c>
      <c r="I17" s="79">
        <f>Assumptions!$B22/12*0.8</f>
        <v>2666.666667</v>
      </c>
      <c r="J17" s="79">
        <f>Assumptions!$B22/12*0.8</f>
        <v>2666.666667</v>
      </c>
      <c r="K17" s="79">
        <f>Assumptions!$B22/12*0.8</f>
        <v>2666.666667</v>
      </c>
      <c r="L17" s="79">
        <f>Assumptions!$B22/12*0.8</f>
        <v>2666.666667</v>
      </c>
      <c r="M17" s="79">
        <f>Assumptions!$B22/12*0.8</f>
        <v>2666.666667</v>
      </c>
      <c r="N17" s="82">
        <f t="shared" si="7"/>
        <v>32000</v>
      </c>
      <c r="O17" s="79"/>
      <c r="P17" s="79">
        <f>(Assumptions!$C22/12)*0.8</f>
        <v>3333.333333</v>
      </c>
      <c r="Q17" s="79">
        <f>(Assumptions!$C22/12)*0.8</f>
        <v>3333.333333</v>
      </c>
      <c r="R17" s="79">
        <f>(Assumptions!$C22/12)*0.8</f>
        <v>3333.333333</v>
      </c>
      <c r="S17" s="79">
        <f>(Assumptions!$C22/12)*0.8</f>
        <v>3333.333333</v>
      </c>
      <c r="T17" s="79">
        <f>(Assumptions!$C22/12)*0.8</f>
        <v>3333.333333</v>
      </c>
      <c r="U17" s="79">
        <f>(Assumptions!$C22/12)*0.8</f>
        <v>3333.333333</v>
      </c>
      <c r="V17" s="79">
        <f>(Assumptions!$C22/12)*0.8</f>
        <v>3333.333333</v>
      </c>
      <c r="W17" s="79">
        <f>(Assumptions!$C22/12)*0.8</f>
        <v>3333.333333</v>
      </c>
      <c r="X17" s="79">
        <f>(Assumptions!$C22/12)*0.8</f>
        <v>3333.333333</v>
      </c>
      <c r="Y17" s="79">
        <f>(Assumptions!$C22/12)*0.8</f>
        <v>3333.333333</v>
      </c>
      <c r="Z17" s="79">
        <f>(Assumptions!$C22/12)*0.8</f>
        <v>3333.333333</v>
      </c>
      <c r="AA17" s="79">
        <f>(Assumptions!$C22/12)*0.8</f>
        <v>3333.333333</v>
      </c>
      <c r="AB17" s="82">
        <f t="shared" si="8"/>
        <v>40000</v>
      </c>
      <c r="AC17" s="79"/>
      <c r="AD17" s="79">
        <f>(Assumptions!$D22/12)*0.8</f>
        <v>4000</v>
      </c>
      <c r="AE17" s="79">
        <f>(Assumptions!$D22/12)*0.8</f>
        <v>4000</v>
      </c>
      <c r="AF17" s="79">
        <f>(Assumptions!$D22/12)*0.8</f>
        <v>4000</v>
      </c>
      <c r="AG17" s="79">
        <f>(Assumptions!$D22/12)*0.8</f>
        <v>4000</v>
      </c>
      <c r="AH17" s="79">
        <f>(Assumptions!$D22/12)*0.8</f>
        <v>4000</v>
      </c>
      <c r="AI17" s="79">
        <f>(Assumptions!$D22/12)*0.8</f>
        <v>4000</v>
      </c>
      <c r="AJ17" s="79">
        <f>(Assumptions!$D22/12)*0.8</f>
        <v>4000</v>
      </c>
      <c r="AK17" s="79">
        <f>(Assumptions!$D22/12)*0.8</f>
        <v>4000</v>
      </c>
      <c r="AL17" s="79">
        <f>(Assumptions!$D22/12)*0.8</f>
        <v>4000</v>
      </c>
      <c r="AM17" s="79">
        <f>(Assumptions!$D22/12)*0.8</f>
        <v>4000</v>
      </c>
      <c r="AN17" s="79">
        <f>(Assumptions!$D22/12)*0.8</f>
        <v>4000</v>
      </c>
      <c r="AO17" s="79">
        <f>(Assumptions!$D22/12)*0.8</f>
        <v>4000</v>
      </c>
      <c r="AP17" s="82">
        <f t="shared" si="9"/>
        <v>48000</v>
      </c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82"/>
    </row>
    <row r="18">
      <c r="A18" s="24" t="str">
        <f>Assumptions!A43</f>
        <v>Development Expenditure</v>
      </c>
      <c r="B18" s="79">
        <f>'P&amp;L'!B20*1.2</f>
        <v>6000</v>
      </c>
      <c r="C18" s="79">
        <f>'P&amp;L'!C20*1.2</f>
        <v>6000</v>
      </c>
      <c r="D18" s="79">
        <f>'P&amp;L'!D20*1.2</f>
        <v>6000</v>
      </c>
      <c r="E18" s="79">
        <f>'P&amp;L'!E20*1.2</f>
        <v>6000</v>
      </c>
      <c r="F18" s="79">
        <f>'P&amp;L'!F20*1.2</f>
        <v>6000</v>
      </c>
      <c r="G18" s="79">
        <f>'P&amp;L'!G20*1.2</f>
        <v>6000</v>
      </c>
      <c r="H18" s="79">
        <f>'P&amp;L'!H20*1.2</f>
        <v>6000</v>
      </c>
      <c r="I18" s="79">
        <f>'P&amp;L'!I20*1.2</f>
        <v>6000</v>
      </c>
      <c r="J18" s="79">
        <f>'P&amp;L'!J20*1.2</f>
        <v>6000</v>
      </c>
      <c r="K18" s="79">
        <f>'P&amp;L'!K20*1.2</f>
        <v>6000</v>
      </c>
      <c r="L18" s="79">
        <f>'P&amp;L'!L20*1.2</f>
        <v>6000</v>
      </c>
      <c r="M18" s="79">
        <f>'P&amp;L'!M20*1.2</f>
        <v>6000</v>
      </c>
      <c r="N18" s="82">
        <f t="shared" si="7"/>
        <v>72000</v>
      </c>
      <c r="O18" s="79"/>
      <c r="P18" s="79">
        <f>'P&amp;L'!P20*1.2</f>
        <v>2400</v>
      </c>
      <c r="Q18" s="79">
        <f>'P&amp;L'!Q20*1.2</f>
        <v>0</v>
      </c>
      <c r="R18" s="79">
        <f>'P&amp;L'!R20*1.2</f>
        <v>0</v>
      </c>
      <c r="S18" s="79">
        <f>'P&amp;L'!S20*1.2</f>
        <v>2400</v>
      </c>
      <c r="T18" s="79">
        <f>'P&amp;L'!T20*1.2</f>
        <v>1200</v>
      </c>
      <c r="U18" s="79">
        <f>'P&amp;L'!U20*1.2</f>
        <v>1200</v>
      </c>
      <c r="V18" s="79">
        <f>'P&amp;L'!V20*1.2</f>
        <v>2400</v>
      </c>
      <c r="W18" s="79">
        <f>'P&amp;L'!W20*1.2</f>
        <v>1200</v>
      </c>
      <c r="X18" s="79">
        <f>'P&amp;L'!X20*1.2</f>
        <v>1200</v>
      </c>
      <c r="Y18" s="79">
        <f>'P&amp;L'!Y20*1.2</f>
        <v>1200</v>
      </c>
      <c r="Z18" s="79">
        <f>'P&amp;L'!Z20*1.2</f>
        <v>1200</v>
      </c>
      <c r="AA18" s="79">
        <f>'P&amp;L'!AA20*1.2</f>
        <v>1200</v>
      </c>
      <c r="AB18" s="82">
        <f t="shared" si="8"/>
        <v>15600</v>
      </c>
      <c r="AC18" s="79"/>
      <c r="AD18" s="79">
        <f>'P&amp;L'!AD20*1.2</f>
        <v>4800</v>
      </c>
      <c r="AE18" s="79">
        <f>'P&amp;L'!AE20*1.2</f>
        <v>2400</v>
      </c>
      <c r="AF18" s="79">
        <f>'P&amp;L'!AF20*1.2</f>
        <v>2400</v>
      </c>
      <c r="AG18" s="79">
        <f>'P&amp;L'!AG20*1.2</f>
        <v>2400</v>
      </c>
      <c r="AH18" s="79">
        <f>'P&amp;L'!AH20*1.2</f>
        <v>4800</v>
      </c>
      <c r="AI18" s="79">
        <f>'P&amp;L'!AI20*1.2</f>
        <v>2400</v>
      </c>
      <c r="AJ18" s="79">
        <f>'P&amp;L'!AJ20*1.2</f>
        <v>2400</v>
      </c>
      <c r="AK18" s="79">
        <f>'P&amp;L'!AK20*1.2</f>
        <v>2400</v>
      </c>
      <c r="AL18" s="79">
        <f>'P&amp;L'!AL20*1.2</f>
        <v>4800</v>
      </c>
      <c r="AM18" s="79">
        <f>'P&amp;L'!AM20*1.2</f>
        <v>2400</v>
      </c>
      <c r="AN18" s="79">
        <f>'P&amp;L'!AN20*1.2</f>
        <v>2400</v>
      </c>
      <c r="AO18" s="79">
        <f>'P&amp;L'!AO20*1.2</f>
        <v>2400</v>
      </c>
      <c r="AP18" s="82">
        <f t="shared" si="9"/>
        <v>36000</v>
      </c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82"/>
    </row>
    <row r="19">
      <c r="A19" s="24" t="str">
        <f>Assumptions!A23</f>
        <v>Motor &amp; travel expenses</v>
      </c>
      <c r="B19" s="79">
        <f>'P&amp;L'!B21*1.2</f>
        <v>0</v>
      </c>
      <c r="C19" s="79">
        <f>'P&amp;L'!C21*1.2</f>
        <v>0</v>
      </c>
      <c r="D19" s="79">
        <f>'P&amp;L'!D21*1.2</f>
        <v>0</v>
      </c>
      <c r="E19" s="79">
        <f>'P&amp;L'!E21*1.2</f>
        <v>0</v>
      </c>
      <c r="F19" s="79">
        <f>'P&amp;L'!F21*1.2</f>
        <v>0</v>
      </c>
      <c r="G19" s="79">
        <f>'P&amp;L'!G21*1.2</f>
        <v>0</v>
      </c>
      <c r="H19" s="79">
        <f>'P&amp;L'!H21*1.2</f>
        <v>0</v>
      </c>
      <c r="I19" s="79">
        <f>'P&amp;L'!I21*1.2</f>
        <v>0</v>
      </c>
      <c r="J19" s="79">
        <f>'P&amp;L'!J21*1.2</f>
        <v>0</v>
      </c>
      <c r="K19" s="79">
        <f>'P&amp;L'!K21*1.2</f>
        <v>0</v>
      </c>
      <c r="L19" s="79">
        <f>'P&amp;L'!L21*1.2</f>
        <v>0</v>
      </c>
      <c r="M19" s="79">
        <f>'P&amp;L'!M21*1.2</f>
        <v>0</v>
      </c>
      <c r="N19" s="82">
        <f t="shared" si="7"/>
        <v>0</v>
      </c>
      <c r="O19" s="79"/>
      <c r="P19" s="79">
        <f>'P&amp;L'!P21*1.2</f>
        <v>0</v>
      </c>
      <c r="Q19" s="79">
        <f>'P&amp;L'!Q21*1.2</f>
        <v>0</v>
      </c>
      <c r="R19" s="79">
        <f>'P&amp;L'!R21*1.2</f>
        <v>0</v>
      </c>
      <c r="S19" s="79">
        <f>'P&amp;L'!S21*1.2</f>
        <v>0</v>
      </c>
      <c r="T19" s="79">
        <f>'P&amp;L'!T21*1.2</f>
        <v>0</v>
      </c>
      <c r="U19" s="79">
        <f>'P&amp;L'!U21*1.2</f>
        <v>0</v>
      </c>
      <c r="V19" s="79">
        <f>'P&amp;L'!V21*1.2</f>
        <v>0</v>
      </c>
      <c r="W19" s="79">
        <f>'P&amp;L'!W21*1.2</f>
        <v>0</v>
      </c>
      <c r="X19" s="79">
        <f>'P&amp;L'!X21*1.2</f>
        <v>0</v>
      </c>
      <c r="Y19" s="79">
        <f>'P&amp;L'!Y21*1.2</f>
        <v>0</v>
      </c>
      <c r="Z19" s="79">
        <f>'P&amp;L'!Z21*1.2</f>
        <v>0</v>
      </c>
      <c r="AA19" s="79">
        <f>'P&amp;L'!AA21*1.2</f>
        <v>0</v>
      </c>
      <c r="AB19" s="82">
        <f t="shared" si="8"/>
        <v>0</v>
      </c>
      <c r="AC19" s="79"/>
      <c r="AD19" s="79">
        <f>'P&amp;L'!AD21*1.2</f>
        <v>0</v>
      </c>
      <c r="AE19" s="79">
        <f>'P&amp;L'!AE21*1.2</f>
        <v>0</v>
      </c>
      <c r="AF19" s="79">
        <f>'P&amp;L'!AF21*1.2</f>
        <v>0</v>
      </c>
      <c r="AG19" s="79">
        <f>'P&amp;L'!AG21*1.2</f>
        <v>0</v>
      </c>
      <c r="AH19" s="79">
        <f>'P&amp;L'!AH21*1.2</f>
        <v>0</v>
      </c>
      <c r="AI19" s="79">
        <f>'P&amp;L'!AI21*1.2</f>
        <v>0</v>
      </c>
      <c r="AJ19" s="79">
        <f>'P&amp;L'!AJ21*1.2</f>
        <v>0</v>
      </c>
      <c r="AK19" s="79">
        <f>'P&amp;L'!AK21*1.2</f>
        <v>0</v>
      </c>
      <c r="AL19" s="79">
        <f>'P&amp;L'!AL21*1.2</f>
        <v>0</v>
      </c>
      <c r="AM19" s="79">
        <f>'P&amp;L'!AM21*1.2</f>
        <v>0</v>
      </c>
      <c r="AN19" s="79">
        <f>'P&amp;L'!AN21*1.2</f>
        <v>0</v>
      </c>
      <c r="AO19" s="79">
        <f>'P&amp;L'!AO21*1.2</f>
        <v>0</v>
      </c>
      <c r="AP19" s="82">
        <f t="shared" si="9"/>
        <v>0</v>
      </c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82"/>
    </row>
    <row r="20">
      <c r="A20" s="24" t="str">
        <f>Assumptions!A24</f>
        <v>Materials/Resources</v>
      </c>
      <c r="B20" s="79">
        <f>'P&amp;L'!B22*1.2</f>
        <v>0</v>
      </c>
      <c r="C20" s="79">
        <f>'P&amp;L'!C22*1.2</f>
        <v>0</v>
      </c>
      <c r="D20" s="79">
        <f>'P&amp;L'!D22*1.2</f>
        <v>0</v>
      </c>
      <c r="E20" s="79">
        <f>'P&amp;L'!E22*1.2</f>
        <v>0</v>
      </c>
      <c r="F20" s="79">
        <f>'P&amp;L'!F22*1.2</f>
        <v>0</v>
      </c>
      <c r="G20" s="79">
        <f>'P&amp;L'!G22*1.2</f>
        <v>0</v>
      </c>
      <c r="H20" s="79">
        <f>'P&amp;L'!H22*1.2</f>
        <v>0</v>
      </c>
      <c r="I20" s="79">
        <f>'P&amp;L'!I22*1.2</f>
        <v>0</v>
      </c>
      <c r="J20" s="79">
        <f>'P&amp;L'!J22*1.2</f>
        <v>0</v>
      </c>
      <c r="K20" s="79">
        <f>'P&amp;L'!K22*1.2</f>
        <v>0</v>
      </c>
      <c r="L20" s="79">
        <f>'P&amp;L'!L22*1.2</f>
        <v>0</v>
      </c>
      <c r="M20" s="79">
        <f>'P&amp;L'!M22*1.2</f>
        <v>0</v>
      </c>
      <c r="N20" s="82">
        <f t="shared" si="7"/>
        <v>0</v>
      </c>
      <c r="O20" s="79"/>
      <c r="P20" s="79">
        <f>'P&amp;L'!P22*1.2</f>
        <v>0</v>
      </c>
      <c r="Q20" s="79">
        <f>'P&amp;L'!Q22*1.2</f>
        <v>0</v>
      </c>
      <c r="R20" s="79">
        <f>'P&amp;L'!R22*1.2</f>
        <v>0</v>
      </c>
      <c r="S20" s="79">
        <f>'P&amp;L'!S22*1.2</f>
        <v>0</v>
      </c>
      <c r="T20" s="79">
        <f>'P&amp;L'!T22*1.2</f>
        <v>0</v>
      </c>
      <c r="U20" s="79">
        <f>'P&amp;L'!U22*1.2</f>
        <v>0</v>
      </c>
      <c r="V20" s="79">
        <f>'P&amp;L'!V22*1.2</f>
        <v>0</v>
      </c>
      <c r="W20" s="79">
        <f>'P&amp;L'!W22*1.2</f>
        <v>0</v>
      </c>
      <c r="X20" s="79">
        <f>'P&amp;L'!X22*1.2</f>
        <v>0</v>
      </c>
      <c r="Y20" s="79">
        <f>'P&amp;L'!Y22*1.2</f>
        <v>0</v>
      </c>
      <c r="Z20" s="79">
        <f>'P&amp;L'!Z22*1.2</f>
        <v>0</v>
      </c>
      <c r="AA20" s="79">
        <f>'P&amp;L'!AA22*1.2</f>
        <v>0</v>
      </c>
      <c r="AB20" s="82">
        <f t="shared" si="8"/>
        <v>0</v>
      </c>
      <c r="AC20" s="79"/>
      <c r="AD20" s="79">
        <f>'P&amp;L'!AD22*1.2</f>
        <v>0</v>
      </c>
      <c r="AE20" s="79">
        <f>'P&amp;L'!AE22*1.2</f>
        <v>0</v>
      </c>
      <c r="AF20" s="79">
        <f>'P&amp;L'!AF22*1.2</f>
        <v>0</v>
      </c>
      <c r="AG20" s="79">
        <f>'P&amp;L'!AG22*1.2</f>
        <v>0</v>
      </c>
      <c r="AH20" s="79">
        <f>'P&amp;L'!AH22*1.2</f>
        <v>0</v>
      </c>
      <c r="AI20" s="79">
        <f>'P&amp;L'!AI22*1.2</f>
        <v>0</v>
      </c>
      <c r="AJ20" s="79">
        <f>'P&amp;L'!AJ22*1.2</f>
        <v>0</v>
      </c>
      <c r="AK20" s="79">
        <f>'P&amp;L'!AK22*1.2</f>
        <v>0</v>
      </c>
      <c r="AL20" s="79">
        <f>'P&amp;L'!AL22*1.2</f>
        <v>0</v>
      </c>
      <c r="AM20" s="79">
        <f>'P&amp;L'!AM22*1.2</f>
        <v>0</v>
      </c>
      <c r="AN20" s="79">
        <f>'P&amp;L'!AN22*1.2</f>
        <v>0</v>
      </c>
      <c r="AO20" s="79">
        <f>'P&amp;L'!AO22*1.2</f>
        <v>0</v>
      </c>
      <c r="AP20" s="82">
        <f t="shared" si="9"/>
        <v>0</v>
      </c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82"/>
    </row>
    <row r="21" ht="15.75" customHeight="1">
      <c r="A21" s="24" t="str">
        <f>Assumptions!A25</f>
        <v>Marketing</v>
      </c>
      <c r="B21" s="79">
        <f>'P&amp;L'!B23*1.2</f>
        <v>2000</v>
      </c>
      <c r="C21" s="79">
        <f>'P&amp;L'!C23*1.2</f>
        <v>2000</v>
      </c>
      <c r="D21" s="79">
        <f>'P&amp;L'!D23*1.2</f>
        <v>2000</v>
      </c>
      <c r="E21" s="79">
        <f>'P&amp;L'!E23*1.2</f>
        <v>2000</v>
      </c>
      <c r="F21" s="79">
        <f>'P&amp;L'!F23*1.2</f>
        <v>2000</v>
      </c>
      <c r="G21" s="79">
        <f>'P&amp;L'!G23*1.2</f>
        <v>2000</v>
      </c>
      <c r="H21" s="79">
        <f>'P&amp;L'!H23*1.2</f>
        <v>2000</v>
      </c>
      <c r="I21" s="79">
        <f>'P&amp;L'!I23*1.2</f>
        <v>2000</v>
      </c>
      <c r="J21" s="79">
        <f>'P&amp;L'!J23*1.2</f>
        <v>2000</v>
      </c>
      <c r="K21" s="79">
        <f>'P&amp;L'!K23*1.2</f>
        <v>2000</v>
      </c>
      <c r="L21" s="79">
        <f>'P&amp;L'!L23*1.2</f>
        <v>2000</v>
      </c>
      <c r="M21" s="79">
        <f>'P&amp;L'!M23*1.2</f>
        <v>2000</v>
      </c>
      <c r="N21" s="82">
        <f t="shared" si="7"/>
        <v>24000</v>
      </c>
      <c r="O21" s="79"/>
      <c r="P21" s="79">
        <f>'P&amp;L'!P23*1.2</f>
        <v>3000</v>
      </c>
      <c r="Q21" s="79">
        <f>'P&amp;L'!Q23*1.2</f>
        <v>3000</v>
      </c>
      <c r="R21" s="79">
        <f>'P&amp;L'!R23*1.2</f>
        <v>3000</v>
      </c>
      <c r="S21" s="79">
        <f>'P&amp;L'!S23*1.2</f>
        <v>3000</v>
      </c>
      <c r="T21" s="79">
        <f>'P&amp;L'!T23*1.2</f>
        <v>3000</v>
      </c>
      <c r="U21" s="79">
        <f>'P&amp;L'!U23*1.2</f>
        <v>3000</v>
      </c>
      <c r="V21" s="79">
        <f>'P&amp;L'!V23*1.2</f>
        <v>3000</v>
      </c>
      <c r="W21" s="79">
        <f>'P&amp;L'!W23*1.2</f>
        <v>3000</v>
      </c>
      <c r="X21" s="79">
        <f>'P&amp;L'!X23*1.2</f>
        <v>3000</v>
      </c>
      <c r="Y21" s="79">
        <f>'P&amp;L'!Y23*1.2</f>
        <v>3000</v>
      </c>
      <c r="Z21" s="79">
        <f>'P&amp;L'!Z23*1.2</f>
        <v>3000</v>
      </c>
      <c r="AA21" s="79">
        <f>'P&amp;L'!AA23*1.2</f>
        <v>3000</v>
      </c>
      <c r="AB21" s="82">
        <f t="shared" si="8"/>
        <v>36000</v>
      </c>
      <c r="AC21" s="79"/>
      <c r="AD21" s="79">
        <f>'P&amp;L'!AD23*1.2</f>
        <v>3000</v>
      </c>
      <c r="AE21" s="79">
        <f>'P&amp;L'!AE23*1.2</f>
        <v>3000</v>
      </c>
      <c r="AF21" s="79">
        <f>'P&amp;L'!AF23*1.2</f>
        <v>3000</v>
      </c>
      <c r="AG21" s="79">
        <f>'P&amp;L'!AG23*1.2</f>
        <v>3000</v>
      </c>
      <c r="AH21" s="79">
        <f>'P&amp;L'!AH23*1.2</f>
        <v>3000</v>
      </c>
      <c r="AI21" s="79">
        <f>'P&amp;L'!AI23*1.2</f>
        <v>3000</v>
      </c>
      <c r="AJ21" s="79">
        <f>'P&amp;L'!AJ23*1.2</f>
        <v>3000</v>
      </c>
      <c r="AK21" s="79">
        <f>'P&amp;L'!AK23*1.2</f>
        <v>3000</v>
      </c>
      <c r="AL21" s="79">
        <f>'P&amp;L'!AL23*1.2</f>
        <v>3000</v>
      </c>
      <c r="AM21" s="79">
        <f>'P&amp;L'!AM23*1.2</f>
        <v>3000</v>
      </c>
      <c r="AN21" s="79">
        <f>'P&amp;L'!AN23*1.2</f>
        <v>3000</v>
      </c>
      <c r="AO21" s="79">
        <f>'P&amp;L'!AO23*1.2</f>
        <v>3000</v>
      </c>
      <c r="AP21" s="82">
        <f t="shared" si="9"/>
        <v>36000</v>
      </c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82"/>
    </row>
    <row r="22" ht="15.75" customHeight="1">
      <c r="A22" s="24" t="str">
        <f>Assumptions!A26</f>
        <v>Insurance</v>
      </c>
      <c r="B22" s="79">
        <f>'P&amp;L'!B24*1.2</f>
        <v>1400</v>
      </c>
      <c r="C22" s="79">
        <f>'P&amp;L'!C24*1.2</f>
        <v>1400</v>
      </c>
      <c r="D22" s="79">
        <f>'P&amp;L'!D24*1.2</f>
        <v>1400</v>
      </c>
      <c r="E22" s="79">
        <f>'P&amp;L'!E24*1.2</f>
        <v>1400</v>
      </c>
      <c r="F22" s="79">
        <f>'P&amp;L'!F24*1.2</f>
        <v>1400</v>
      </c>
      <c r="G22" s="79">
        <f>'P&amp;L'!G24*1.2</f>
        <v>1400</v>
      </c>
      <c r="H22" s="79">
        <f>'P&amp;L'!H24*1.2</f>
        <v>1400</v>
      </c>
      <c r="I22" s="79">
        <f>'P&amp;L'!I24*1.2</f>
        <v>1400</v>
      </c>
      <c r="J22" s="79">
        <f>'P&amp;L'!J24*1.2</f>
        <v>1400</v>
      </c>
      <c r="K22" s="79">
        <f>'P&amp;L'!K24*1.2</f>
        <v>1400</v>
      </c>
      <c r="L22" s="79">
        <f>'P&amp;L'!L24*1.2</f>
        <v>1400</v>
      </c>
      <c r="M22" s="79">
        <f>'P&amp;L'!M24*1.2</f>
        <v>1400</v>
      </c>
      <c r="N22" s="82">
        <f t="shared" si="7"/>
        <v>16800</v>
      </c>
      <c r="O22" s="79"/>
      <c r="P22" s="79">
        <f>'P&amp;L'!P24*1.2</f>
        <v>1400</v>
      </c>
      <c r="Q22" s="79">
        <f>'P&amp;L'!Q24*1.2</f>
        <v>1400</v>
      </c>
      <c r="R22" s="79">
        <f>'P&amp;L'!R24*1.2</f>
        <v>1400</v>
      </c>
      <c r="S22" s="79">
        <f>'P&amp;L'!S24*1.2</f>
        <v>1400</v>
      </c>
      <c r="T22" s="79">
        <f>'P&amp;L'!T24*1.2</f>
        <v>1400</v>
      </c>
      <c r="U22" s="79">
        <f>'P&amp;L'!U24*1.2</f>
        <v>1400</v>
      </c>
      <c r="V22" s="79">
        <f>'P&amp;L'!V24*1.2</f>
        <v>1400</v>
      </c>
      <c r="W22" s="79">
        <f>'P&amp;L'!W24*1.2</f>
        <v>1400</v>
      </c>
      <c r="X22" s="79">
        <f>'P&amp;L'!X24*1.2</f>
        <v>1400</v>
      </c>
      <c r="Y22" s="79">
        <f>'P&amp;L'!Y24*1.2</f>
        <v>1400</v>
      </c>
      <c r="Z22" s="79">
        <f>'P&amp;L'!Z24*1.2</f>
        <v>1400</v>
      </c>
      <c r="AA22" s="79">
        <f>'P&amp;L'!AA24*1.2</f>
        <v>1400</v>
      </c>
      <c r="AB22" s="82">
        <f t="shared" si="8"/>
        <v>16800</v>
      </c>
      <c r="AC22" s="79"/>
      <c r="AD22" s="79">
        <f>'P&amp;L'!AD24*1.2</f>
        <v>1400</v>
      </c>
      <c r="AE22" s="79">
        <f>'P&amp;L'!AE24*1.2</f>
        <v>1400</v>
      </c>
      <c r="AF22" s="79">
        <f>'P&amp;L'!AF24*1.2</f>
        <v>1400</v>
      </c>
      <c r="AG22" s="79">
        <f>'P&amp;L'!AG24*1.2</f>
        <v>1400</v>
      </c>
      <c r="AH22" s="79">
        <f>'P&amp;L'!AH24*1.2</f>
        <v>1400</v>
      </c>
      <c r="AI22" s="79">
        <f>'P&amp;L'!AI24*1.2</f>
        <v>1400</v>
      </c>
      <c r="AJ22" s="79">
        <f>'P&amp;L'!AJ24*1.2</f>
        <v>1400</v>
      </c>
      <c r="AK22" s="79">
        <f>'P&amp;L'!AK24*1.2</f>
        <v>1400</v>
      </c>
      <c r="AL22" s="79">
        <f>'P&amp;L'!AL24*1.2</f>
        <v>1400</v>
      </c>
      <c r="AM22" s="79">
        <f>'P&amp;L'!AM24*1.2</f>
        <v>1400</v>
      </c>
      <c r="AN22" s="79">
        <f>'P&amp;L'!AN24*1.2</f>
        <v>1400</v>
      </c>
      <c r="AO22" s="79">
        <f>'P&amp;L'!AO24*1.2</f>
        <v>1400</v>
      </c>
      <c r="AP22" s="82">
        <f t="shared" si="9"/>
        <v>16800</v>
      </c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82"/>
    </row>
    <row r="23" ht="15.75" customHeight="1">
      <c r="A23" s="24" t="str">
        <f>Assumptions!A27</f>
        <v>Computer &amp; IT costs</v>
      </c>
      <c r="B23" s="79">
        <f>'P&amp;L'!B25*1.2</f>
        <v>100</v>
      </c>
      <c r="C23" s="79">
        <f>'P&amp;L'!C25*1.2</f>
        <v>100</v>
      </c>
      <c r="D23" s="79">
        <f>'P&amp;L'!D25*1.2</f>
        <v>100</v>
      </c>
      <c r="E23" s="79">
        <f>'P&amp;L'!E25*1.2</f>
        <v>100</v>
      </c>
      <c r="F23" s="79">
        <f>'P&amp;L'!F25*1.2</f>
        <v>100</v>
      </c>
      <c r="G23" s="79">
        <f>'P&amp;L'!G25*1.2</f>
        <v>100</v>
      </c>
      <c r="H23" s="79">
        <f>'P&amp;L'!H25*1.2</f>
        <v>100</v>
      </c>
      <c r="I23" s="79">
        <f>'P&amp;L'!I25*1.2</f>
        <v>100</v>
      </c>
      <c r="J23" s="79">
        <f>'P&amp;L'!J25*1.2</f>
        <v>100</v>
      </c>
      <c r="K23" s="79">
        <f>'P&amp;L'!K25*1.2</f>
        <v>100</v>
      </c>
      <c r="L23" s="79">
        <f>'P&amp;L'!L25*1.2</f>
        <v>100</v>
      </c>
      <c r="M23" s="79">
        <f>'P&amp;L'!M25*1.2</f>
        <v>100</v>
      </c>
      <c r="N23" s="82">
        <f t="shared" si="7"/>
        <v>1200</v>
      </c>
      <c r="O23" s="79"/>
      <c r="P23" s="79">
        <f>'P&amp;L'!P25*1.2</f>
        <v>100</v>
      </c>
      <c r="Q23" s="79">
        <f>'P&amp;L'!Q25*1.2</f>
        <v>100</v>
      </c>
      <c r="R23" s="79">
        <f>'P&amp;L'!R25*1.2</f>
        <v>100</v>
      </c>
      <c r="S23" s="79">
        <f>'P&amp;L'!S25*1.2</f>
        <v>100</v>
      </c>
      <c r="T23" s="79">
        <f>'P&amp;L'!T25*1.2</f>
        <v>100</v>
      </c>
      <c r="U23" s="79">
        <f>'P&amp;L'!U25*1.2</f>
        <v>100</v>
      </c>
      <c r="V23" s="79">
        <f>'P&amp;L'!V25*1.2</f>
        <v>100</v>
      </c>
      <c r="W23" s="79">
        <f>'P&amp;L'!W25*1.2</f>
        <v>100</v>
      </c>
      <c r="X23" s="79">
        <f>'P&amp;L'!X25*1.2</f>
        <v>100</v>
      </c>
      <c r="Y23" s="79">
        <f>'P&amp;L'!Y25*1.2</f>
        <v>100</v>
      </c>
      <c r="Z23" s="79">
        <f>'P&amp;L'!Z25*1.2</f>
        <v>100</v>
      </c>
      <c r="AA23" s="79">
        <f>'P&amp;L'!AA25*1.2</f>
        <v>100</v>
      </c>
      <c r="AB23" s="82">
        <f t="shared" si="8"/>
        <v>1200</v>
      </c>
      <c r="AC23" s="79"/>
      <c r="AD23" s="79">
        <f>'P&amp;L'!AD25*1.2</f>
        <v>100</v>
      </c>
      <c r="AE23" s="79">
        <f>'P&amp;L'!AE25*1.2</f>
        <v>100</v>
      </c>
      <c r="AF23" s="79">
        <f>'P&amp;L'!AF25*1.2</f>
        <v>100</v>
      </c>
      <c r="AG23" s="79">
        <f>'P&amp;L'!AG25*1.2</f>
        <v>100</v>
      </c>
      <c r="AH23" s="79">
        <f>'P&amp;L'!AH25*1.2</f>
        <v>100</v>
      </c>
      <c r="AI23" s="79">
        <f>'P&amp;L'!AI25*1.2</f>
        <v>100</v>
      </c>
      <c r="AJ23" s="79">
        <f>'P&amp;L'!AJ25*1.2</f>
        <v>100</v>
      </c>
      <c r="AK23" s="79">
        <f>'P&amp;L'!AK25*1.2</f>
        <v>100</v>
      </c>
      <c r="AL23" s="79">
        <f>'P&amp;L'!AL25*1.2</f>
        <v>100</v>
      </c>
      <c r="AM23" s="79">
        <f>'P&amp;L'!AM25*1.2</f>
        <v>100</v>
      </c>
      <c r="AN23" s="79">
        <f>'P&amp;L'!AN25*1.2</f>
        <v>100</v>
      </c>
      <c r="AO23" s="79">
        <f>'P&amp;L'!AO25*1.2</f>
        <v>100</v>
      </c>
      <c r="AP23" s="82">
        <f t="shared" si="9"/>
        <v>1200</v>
      </c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82"/>
    </row>
    <row r="24" ht="15.75" customHeight="1">
      <c r="A24" s="24" t="str">
        <f>Assumptions!A28</f>
        <v>Office Rent &amp; services</v>
      </c>
      <c r="B24" s="79">
        <f>'P&amp;L'!B26*1.2</f>
        <v>0</v>
      </c>
      <c r="C24" s="79">
        <f>'P&amp;L'!C26*1.2</f>
        <v>0</v>
      </c>
      <c r="D24" s="79">
        <f>'P&amp;L'!D26*1.2</f>
        <v>0</v>
      </c>
      <c r="E24" s="79">
        <f>'P&amp;L'!E26*1.2</f>
        <v>0</v>
      </c>
      <c r="F24" s="79">
        <f>'P&amp;L'!F26*1.2</f>
        <v>0</v>
      </c>
      <c r="G24" s="79">
        <f>'P&amp;L'!G26*1.2</f>
        <v>0</v>
      </c>
      <c r="H24" s="79">
        <f>'P&amp;L'!H26*1.2</f>
        <v>0</v>
      </c>
      <c r="I24" s="79">
        <f>'P&amp;L'!I26*1.2</f>
        <v>0</v>
      </c>
      <c r="J24" s="79">
        <f>'P&amp;L'!J26*1.2</f>
        <v>0</v>
      </c>
      <c r="K24" s="79">
        <f>'P&amp;L'!K26*1.2</f>
        <v>0</v>
      </c>
      <c r="L24" s="79">
        <f>'P&amp;L'!L26*1.2</f>
        <v>0</v>
      </c>
      <c r="M24" s="79">
        <f>'P&amp;L'!M26*1.2</f>
        <v>0</v>
      </c>
      <c r="N24" s="82">
        <f t="shared" si="7"/>
        <v>0</v>
      </c>
      <c r="O24" s="79"/>
      <c r="P24" s="79">
        <f>'P&amp;L'!P26*1.2</f>
        <v>0</v>
      </c>
      <c r="Q24" s="79">
        <f>'P&amp;L'!Q26*1.2</f>
        <v>0</v>
      </c>
      <c r="R24" s="79">
        <f>'P&amp;L'!R26*1.2</f>
        <v>0</v>
      </c>
      <c r="S24" s="79">
        <f>'P&amp;L'!S26*1.2</f>
        <v>0</v>
      </c>
      <c r="T24" s="79">
        <f>'P&amp;L'!T26*1.2</f>
        <v>0</v>
      </c>
      <c r="U24" s="79">
        <f>'P&amp;L'!U26*1.2</f>
        <v>0</v>
      </c>
      <c r="V24" s="79">
        <f>'P&amp;L'!V26*1.2</f>
        <v>0</v>
      </c>
      <c r="W24" s="79">
        <f>'P&amp;L'!W26*1.2</f>
        <v>0</v>
      </c>
      <c r="X24" s="79">
        <f>'P&amp;L'!X26*1.2</f>
        <v>0</v>
      </c>
      <c r="Y24" s="79">
        <f>'P&amp;L'!Y26*1.2</f>
        <v>0</v>
      </c>
      <c r="Z24" s="79">
        <f>'P&amp;L'!Z26*1.2</f>
        <v>0</v>
      </c>
      <c r="AA24" s="79">
        <f>'P&amp;L'!AA26*1.2</f>
        <v>0</v>
      </c>
      <c r="AB24" s="82">
        <f t="shared" si="8"/>
        <v>0</v>
      </c>
      <c r="AC24" s="79"/>
      <c r="AD24" s="79">
        <f>'P&amp;L'!AD26*1.2</f>
        <v>0</v>
      </c>
      <c r="AE24" s="79">
        <f>'P&amp;L'!AE26*1.2</f>
        <v>0</v>
      </c>
      <c r="AF24" s="79">
        <f>'P&amp;L'!AF26*1.2</f>
        <v>0</v>
      </c>
      <c r="AG24" s="79">
        <f>'P&amp;L'!AG26*1.2</f>
        <v>0</v>
      </c>
      <c r="AH24" s="79">
        <f>'P&amp;L'!AH26*1.2</f>
        <v>0</v>
      </c>
      <c r="AI24" s="79">
        <f>'P&amp;L'!AI26*1.2</f>
        <v>0</v>
      </c>
      <c r="AJ24" s="79">
        <f>'P&amp;L'!AJ26*1.2</f>
        <v>0</v>
      </c>
      <c r="AK24" s="79">
        <f>'P&amp;L'!AK26*1.2</f>
        <v>0</v>
      </c>
      <c r="AL24" s="79">
        <f>'P&amp;L'!AL26*1.2</f>
        <v>0</v>
      </c>
      <c r="AM24" s="79">
        <f>'P&amp;L'!AM26*1.2</f>
        <v>0</v>
      </c>
      <c r="AN24" s="79">
        <f>'P&amp;L'!AN26*1.2</f>
        <v>0</v>
      </c>
      <c r="AO24" s="79">
        <f>'P&amp;L'!AO26*1.2</f>
        <v>0</v>
      </c>
      <c r="AP24" s="82">
        <f t="shared" si="9"/>
        <v>0</v>
      </c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82"/>
    </row>
    <row r="25" ht="15.75" customHeight="1">
      <c r="A25" s="24" t="str">
        <f>Assumptions!A29</f>
        <v>Telephone</v>
      </c>
      <c r="B25" s="79">
        <f>'P&amp;L'!B27*1.2</f>
        <v>0</v>
      </c>
      <c r="C25" s="79">
        <f>'P&amp;L'!C27*1.2</f>
        <v>0</v>
      </c>
      <c r="D25" s="79">
        <f>'P&amp;L'!D27*1.2</f>
        <v>0</v>
      </c>
      <c r="E25" s="79">
        <f>'P&amp;L'!E27*1.2</f>
        <v>0</v>
      </c>
      <c r="F25" s="79">
        <f>'P&amp;L'!F27*1.2</f>
        <v>0</v>
      </c>
      <c r="G25" s="79">
        <f>'P&amp;L'!G27*1.2</f>
        <v>0</v>
      </c>
      <c r="H25" s="79">
        <f>'P&amp;L'!H27*1.2</f>
        <v>0</v>
      </c>
      <c r="I25" s="79">
        <f>'P&amp;L'!I27*1.2</f>
        <v>0</v>
      </c>
      <c r="J25" s="79">
        <f>'P&amp;L'!J27*1.2</f>
        <v>0</v>
      </c>
      <c r="K25" s="79">
        <f>'P&amp;L'!K27*1.2</f>
        <v>0</v>
      </c>
      <c r="L25" s="79">
        <f>'P&amp;L'!L27*1.2</f>
        <v>0</v>
      </c>
      <c r="M25" s="79">
        <f>'P&amp;L'!M27*1.2</f>
        <v>0</v>
      </c>
      <c r="N25" s="82">
        <f t="shared" si="7"/>
        <v>0</v>
      </c>
      <c r="O25" s="79"/>
      <c r="P25" s="79">
        <f>'P&amp;L'!P27*1.2</f>
        <v>0</v>
      </c>
      <c r="Q25" s="79">
        <f>'P&amp;L'!Q27*1.2</f>
        <v>0</v>
      </c>
      <c r="R25" s="79">
        <f>'P&amp;L'!R27*1.2</f>
        <v>0</v>
      </c>
      <c r="S25" s="79">
        <f>'P&amp;L'!S27*1.2</f>
        <v>0</v>
      </c>
      <c r="T25" s="79">
        <f>'P&amp;L'!T27*1.2</f>
        <v>0</v>
      </c>
      <c r="U25" s="79">
        <f>'P&amp;L'!U27*1.2</f>
        <v>0</v>
      </c>
      <c r="V25" s="79">
        <f>'P&amp;L'!V27*1.2</f>
        <v>0</v>
      </c>
      <c r="W25" s="79">
        <f>'P&amp;L'!W27*1.2</f>
        <v>0</v>
      </c>
      <c r="X25" s="79">
        <f>'P&amp;L'!X27*1.2</f>
        <v>0</v>
      </c>
      <c r="Y25" s="79">
        <f>'P&amp;L'!Y27*1.2</f>
        <v>0</v>
      </c>
      <c r="Z25" s="79">
        <f>'P&amp;L'!Z27*1.2</f>
        <v>0</v>
      </c>
      <c r="AA25" s="79">
        <f>'P&amp;L'!AA27*1.2</f>
        <v>0</v>
      </c>
      <c r="AB25" s="82">
        <f t="shared" si="8"/>
        <v>0</v>
      </c>
      <c r="AC25" s="79"/>
      <c r="AD25" s="79">
        <f>'P&amp;L'!AD27*1.2</f>
        <v>0</v>
      </c>
      <c r="AE25" s="79">
        <f>'P&amp;L'!AE27*1.2</f>
        <v>0</v>
      </c>
      <c r="AF25" s="79">
        <f>'P&amp;L'!AF27*1.2</f>
        <v>0</v>
      </c>
      <c r="AG25" s="79">
        <f>'P&amp;L'!AG27*1.2</f>
        <v>0</v>
      </c>
      <c r="AH25" s="79">
        <f>'P&amp;L'!AH27*1.2</f>
        <v>0</v>
      </c>
      <c r="AI25" s="79">
        <f>'P&amp;L'!AI27*1.2</f>
        <v>0</v>
      </c>
      <c r="AJ25" s="79">
        <f>'P&amp;L'!AJ27*1.2</f>
        <v>0</v>
      </c>
      <c r="AK25" s="79">
        <f>'P&amp;L'!AK27*1.2</f>
        <v>0</v>
      </c>
      <c r="AL25" s="79">
        <f>'P&amp;L'!AL27*1.2</f>
        <v>0</v>
      </c>
      <c r="AM25" s="79">
        <f>'P&amp;L'!AM27*1.2</f>
        <v>0</v>
      </c>
      <c r="AN25" s="79">
        <f>'P&amp;L'!AN27*1.2</f>
        <v>0</v>
      </c>
      <c r="AO25" s="79">
        <f>'P&amp;L'!AO27*1.2</f>
        <v>0</v>
      </c>
      <c r="AP25" s="82">
        <f t="shared" si="9"/>
        <v>0</v>
      </c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82"/>
    </row>
    <row r="26" ht="15.75" customHeight="1">
      <c r="A26" s="24" t="str">
        <f>'P&amp;L'!A28</f>
        <v>Fund raising costs</v>
      </c>
      <c r="B26" s="79">
        <f>Assumptions!B33*Assumptions!$B41*1.2</f>
        <v>9000</v>
      </c>
      <c r="C26" s="79">
        <f>Assumptions!C33*Assumptions!$B41*1.2</f>
        <v>0</v>
      </c>
      <c r="D26" s="79">
        <f>Assumptions!D33*Assumptions!$B41*1.2</f>
        <v>0</v>
      </c>
      <c r="E26" s="79">
        <f>Assumptions!E33*Assumptions!$B41*1.2</f>
        <v>0</v>
      </c>
      <c r="F26" s="79">
        <f>Assumptions!F33*Assumptions!$B41*1.2</f>
        <v>0</v>
      </c>
      <c r="G26" s="79">
        <f>Assumptions!G33*Assumptions!$B41*1.2</f>
        <v>0</v>
      </c>
      <c r="H26" s="79">
        <f>Assumptions!H33*Assumptions!$B41*1.2</f>
        <v>0</v>
      </c>
      <c r="I26" s="79">
        <f>Assumptions!I33*Assumptions!$B41*1.2</f>
        <v>0</v>
      </c>
      <c r="J26" s="79">
        <f>Assumptions!J33*Assumptions!$B41*1.2</f>
        <v>0</v>
      </c>
      <c r="K26" s="79">
        <f>Assumptions!K33*Assumptions!$B41*1.2</f>
        <v>0</v>
      </c>
      <c r="L26" s="79">
        <f>Assumptions!L33*Assumptions!$B41*1.2</f>
        <v>0</v>
      </c>
      <c r="M26" s="79">
        <f>Assumptions!M33*Assumptions!$B41*1.2</f>
        <v>0</v>
      </c>
      <c r="N26" s="82">
        <f t="shared" si="7"/>
        <v>9000</v>
      </c>
      <c r="O26" s="79"/>
      <c r="P26" s="79">
        <f>Assumptions!B36*Assumptions!$B41*1.2</f>
        <v>0</v>
      </c>
      <c r="Q26" s="79">
        <f>Assumptions!C36*Assumptions!$B41*1.2</f>
        <v>0</v>
      </c>
      <c r="R26" s="79">
        <f>Assumptions!D36*Assumptions!$B41*1.2</f>
        <v>0</v>
      </c>
      <c r="S26" s="79">
        <f>Assumptions!E36*Assumptions!$B41*1.2</f>
        <v>0</v>
      </c>
      <c r="T26" s="79">
        <f>Assumptions!F36*Assumptions!$B41*1.2</f>
        <v>0</v>
      </c>
      <c r="U26" s="79">
        <f>Assumptions!G36*Assumptions!$B41*1.2</f>
        <v>0</v>
      </c>
      <c r="V26" s="79">
        <f>Assumptions!H36*Assumptions!$B41*1.2</f>
        <v>0</v>
      </c>
      <c r="W26" s="79">
        <f>Assumptions!I36*Assumptions!$B41*1.2</f>
        <v>0</v>
      </c>
      <c r="X26" s="79">
        <f>Assumptions!J36*Assumptions!$B41*1.2</f>
        <v>0</v>
      </c>
      <c r="Y26" s="79">
        <f>Assumptions!K36*Assumptions!$B41*1.2</f>
        <v>0</v>
      </c>
      <c r="Z26" s="79">
        <f>Assumptions!L36*Assumptions!$B41*1.2</f>
        <v>0</v>
      </c>
      <c r="AA26" s="79">
        <f>Assumptions!M36*Assumptions!$B41*1.2</f>
        <v>0</v>
      </c>
      <c r="AB26" s="82">
        <f t="shared" si="8"/>
        <v>0</v>
      </c>
      <c r="AC26" s="79"/>
      <c r="AD26" s="79">
        <f>Assumptions!B39*Assumptions!$B41*1.2</f>
        <v>0</v>
      </c>
      <c r="AE26" s="79">
        <f>Assumptions!C39*Assumptions!$B41*1.2</f>
        <v>0</v>
      </c>
      <c r="AF26" s="79">
        <f>Assumptions!D39*Assumptions!$B41*1.2</f>
        <v>0</v>
      </c>
      <c r="AG26" s="79">
        <f>Assumptions!E39*Assumptions!$B41*1.2</f>
        <v>0</v>
      </c>
      <c r="AH26" s="79">
        <f>Assumptions!F39*Assumptions!$B41*1.2</f>
        <v>0</v>
      </c>
      <c r="AI26" s="79">
        <f>Assumptions!G39*Assumptions!$B41*1.2</f>
        <v>0</v>
      </c>
      <c r="AJ26" s="79">
        <f>Assumptions!H39*Assumptions!$B41*1.2</f>
        <v>0</v>
      </c>
      <c r="AK26" s="79">
        <f>Assumptions!I39*Assumptions!$B41*1.2</f>
        <v>0</v>
      </c>
      <c r="AL26" s="79">
        <f>Assumptions!J39*Assumptions!$B41*1.2</f>
        <v>0</v>
      </c>
      <c r="AM26" s="79">
        <f>Assumptions!K39*Assumptions!$B41*1.2</f>
        <v>0</v>
      </c>
      <c r="AN26" s="79">
        <f>Assumptions!L39*Assumptions!$B41*1.2</f>
        <v>0</v>
      </c>
      <c r="AO26" s="79">
        <f>Assumptions!M39*Assumptions!$B41*1.2</f>
        <v>0</v>
      </c>
      <c r="AP26" s="82">
        <f t="shared" si="9"/>
        <v>0</v>
      </c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82"/>
    </row>
    <row r="27" ht="15.75" customHeight="1">
      <c r="A27" s="24" t="str">
        <f>'P&amp;L'!A29</f>
        <v>Contingency</v>
      </c>
      <c r="B27" s="79">
        <f>'P&amp;L'!B29*1.2</f>
        <v>0</v>
      </c>
      <c r="C27" s="79">
        <f>'P&amp;L'!C29*1.2</f>
        <v>0</v>
      </c>
      <c r="D27" s="79">
        <f>'P&amp;L'!D29*1.2</f>
        <v>0</v>
      </c>
      <c r="E27" s="79">
        <f>'P&amp;L'!E29*1.2</f>
        <v>0</v>
      </c>
      <c r="F27" s="79">
        <f>'P&amp;L'!F29*1.2</f>
        <v>0</v>
      </c>
      <c r="G27" s="79">
        <f>'P&amp;L'!G29*1.2</f>
        <v>0</v>
      </c>
      <c r="H27" s="79">
        <f>'P&amp;L'!H29*1.2</f>
        <v>0</v>
      </c>
      <c r="I27" s="79">
        <f>'P&amp;L'!I29*1.2</f>
        <v>0</v>
      </c>
      <c r="J27" s="79">
        <f>'P&amp;L'!J29*1.2</f>
        <v>0</v>
      </c>
      <c r="K27" s="79">
        <f>'P&amp;L'!K29*1.2</f>
        <v>0</v>
      </c>
      <c r="L27" s="79">
        <f>'P&amp;L'!L29*1.2</f>
        <v>0</v>
      </c>
      <c r="M27" s="79">
        <f>'P&amp;L'!M29*1.2</f>
        <v>0</v>
      </c>
      <c r="N27" s="82">
        <f t="shared" si="7"/>
        <v>0</v>
      </c>
      <c r="O27" s="79"/>
      <c r="P27" s="79">
        <f>'P&amp;L'!P29*1.2</f>
        <v>1000</v>
      </c>
      <c r="Q27" s="79">
        <f>'P&amp;L'!Q29*1.2</f>
        <v>1000</v>
      </c>
      <c r="R27" s="79">
        <f>'P&amp;L'!R29*1.2</f>
        <v>1000</v>
      </c>
      <c r="S27" s="79">
        <f>'P&amp;L'!S29*1.2</f>
        <v>1000</v>
      </c>
      <c r="T27" s="79">
        <f>'P&amp;L'!T29*1.2</f>
        <v>1000</v>
      </c>
      <c r="U27" s="79">
        <f>'P&amp;L'!U29*1.2</f>
        <v>1000</v>
      </c>
      <c r="V27" s="79">
        <f>'P&amp;L'!V29*1.2</f>
        <v>1000</v>
      </c>
      <c r="W27" s="79">
        <f>'P&amp;L'!W29*1.2</f>
        <v>1000</v>
      </c>
      <c r="X27" s="79">
        <f>'P&amp;L'!X29*1.2</f>
        <v>1000</v>
      </c>
      <c r="Y27" s="79">
        <f>'P&amp;L'!Y29*1.2</f>
        <v>1000</v>
      </c>
      <c r="Z27" s="79">
        <f>'P&amp;L'!Z29*1.2</f>
        <v>1000</v>
      </c>
      <c r="AA27" s="79">
        <f>'P&amp;L'!AA29*1.2</f>
        <v>1000</v>
      </c>
      <c r="AB27" s="82">
        <f t="shared" si="8"/>
        <v>12000</v>
      </c>
      <c r="AC27" s="79"/>
      <c r="AD27" s="79">
        <f>'P&amp;L'!AD29*1.2</f>
        <v>1000</v>
      </c>
      <c r="AE27" s="79">
        <f>'P&amp;L'!AE29*1.2</f>
        <v>1000</v>
      </c>
      <c r="AF27" s="79">
        <f>'P&amp;L'!AF29*1.2</f>
        <v>1000</v>
      </c>
      <c r="AG27" s="79">
        <f>'P&amp;L'!AG29*1.2</f>
        <v>1000</v>
      </c>
      <c r="AH27" s="79">
        <f>'P&amp;L'!AH29*1.2</f>
        <v>1000</v>
      </c>
      <c r="AI27" s="79">
        <f>'P&amp;L'!AI29*1.2</f>
        <v>1000</v>
      </c>
      <c r="AJ27" s="79">
        <f>'P&amp;L'!AJ29*1.2</f>
        <v>1000</v>
      </c>
      <c r="AK27" s="79">
        <f>'P&amp;L'!AK29*1.2</f>
        <v>1000</v>
      </c>
      <c r="AL27" s="79">
        <f>'P&amp;L'!AL29*1.2</f>
        <v>1000</v>
      </c>
      <c r="AM27" s="79">
        <f>'P&amp;L'!AM29*1.2</f>
        <v>1000</v>
      </c>
      <c r="AN27" s="79">
        <f>'P&amp;L'!AN29*1.2</f>
        <v>1000</v>
      </c>
      <c r="AO27" s="79">
        <f>'P&amp;L'!AO29*1.2</f>
        <v>1000</v>
      </c>
      <c r="AP27" s="82">
        <f t="shared" si="9"/>
        <v>12000</v>
      </c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82"/>
    </row>
    <row r="28" ht="15.75" customHeight="1">
      <c r="A28" s="24" t="s">
        <v>137</v>
      </c>
      <c r="B28" s="79">
        <f>Assumptions!B58*1.2</f>
        <v>0</v>
      </c>
      <c r="C28" s="79">
        <f>Assumptions!C58*1.2</f>
        <v>0</v>
      </c>
      <c r="D28" s="79">
        <f>Assumptions!D58*1.2</f>
        <v>0</v>
      </c>
      <c r="E28" s="79">
        <f>Assumptions!E58*1.2</f>
        <v>0</v>
      </c>
      <c r="F28" s="79">
        <f>Assumptions!F58*1.2</f>
        <v>0</v>
      </c>
      <c r="G28" s="79">
        <f>Assumptions!G58*1.2</f>
        <v>0</v>
      </c>
      <c r="H28" s="79">
        <f>Assumptions!H58*1.2</f>
        <v>0</v>
      </c>
      <c r="I28" s="79">
        <f>Assumptions!I58*1.2</f>
        <v>0</v>
      </c>
      <c r="J28" s="79">
        <f>Assumptions!J58*1.2</f>
        <v>0</v>
      </c>
      <c r="K28" s="79">
        <f>Assumptions!K58*1.2</f>
        <v>0</v>
      </c>
      <c r="L28" s="79">
        <f>Assumptions!L58*1.2</f>
        <v>0</v>
      </c>
      <c r="M28" s="79">
        <f>Assumptions!M58*1.2</f>
        <v>0</v>
      </c>
      <c r="N28" s="82">
        <f t="shared" si="7"/>
        <v>0</v>
      </c>
      <c r="O28" s="79"/>
      <c r="P28" s="79">
        <f>Assumptions!B62*1.2</f>
        <v>0</v>
      </c>
      <c r="Q28" s="79">
        <f>Assumptions!C62*1.2</f>
        <v>0</v>
      </c>
      <c r="R28" s="79">
        <f>Assumptions!D62*1.2</f>
        <v>0</v>
      </c>
      <c r="S28" s="79">
        <f>Assumptions!E62*1.2</f>
        <v>0</v>
      </c>
      <c r="T28" s="79">
        <f>Assumptions!F62*1.2</f>
        <v>0</v>
      </c>
      <c r="U28" s="79">
        <f>Assumptions!G62*1.2</f>
        <v>0</v>
      </c>
      <c r="V28" s="79">
        <f>Assumptions!H62*1.2</f>
        <v>0</v>
      </c>
      <c r="W28" s="79">
        <f>Assumptions!I62*1.2</f>
        <v>0</v>
      </c>
      <c r="X28" s="79">
        <f>Assumptions!J62*1.2</f>
        <v>0</v>
      </c>
      <c r="Y28" s="79">
        <f>Assumptions!K62*1.2</f>
        <v>0</v>
      </c>
      <c r="Z28" s="79">
        <f>Assumptions!L62*1.2</f>
        <v>0</v>
      </c>
      <c r="AA28" s="79">
        <f>Assumptions!M62*1.2</f>
        <v>0</v>
      </c>
      <c r="AB28" s="82">
        <f t="shared" si="8"/>
        <v>0</v>
      </c>
      <c r="AC28" s="79"/>
      <c r="AD28" s="79">
        <f>Assumptions!B66*1.2</f>
        <v>0</v>
      </c>
      <c r="AE28" s="79">
        <f>Assumptions!C66*1.2</f>
        <v>0</v>
      </c>
      <c r="AF28" s="79">
        <f>Assumptions!D66*1.2</f>
        <v>0</v>
      </c>
      <c r="AG28" s="79">
        <f>Assumptions!E66*1.2</f>
        <v>0</v>
      </c>
      <c r="AH28" s="79">
        <f>Assumptions!F66*1.2</f>
        <v>0</v>
      </c>
      <c r="AI28" s="79">
        <f>Assumptions!G66*1.2</f>
        <v>0</v>
      </c>
      <c r="AJ28" s="79">
        <f>Assumptions!H66*1.2</f>
        <v>0</v>
      </c>
      <c r="AK28" s="79">
        <f>Assumptions!I66*1.2</f>
        <v>0</v>
      </c>
      <c r="AL28" s="79">
        <f>Assumptions!J66*1.2</f>
        <v>0</v>
      </c>
      <c r="AM28" s="79">
        <f>Assumptions!K66*1.2</f>
        <v>0</v>
      </c>
      <c r="AN28" s="79">
        <f>Assumptions!L66*1.2</f>
        <v>0</v>
      </c>
      <c r="AO28" s="79">
        <f>Assumptions!M66*1.2</f>
        <v>0</v>
      </c>
      <c r="AP28" s="82">
        <f t="shared" si="9"/>
        <v>0</v>
      </c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82"/>
    </row>
    <row r="29" ht="15.75" customHeight="1">
      <c r="A29" s="24" t="s">
        <v>138</v>
      </c>
      <c r="B29" s="79"/>
      <c r="C29" s="79">
        <f>SUM('P&amp;L'!B17:B19)*0.2</f>
        <v>1000</v>
      </c>
      <c r="D29" s="79">
        <f>SUM('P&amp;L'!C17:C19)*0.2</f>
        <v>1000</v>
      </c>
      <c r="E29" s="79">
        <f>SUM('P&amp;L'!D17:D19)*0.2</f>
        <v>1000</v>
      </c>
      <c r="F29" s="79">
        <f>SUM('P&amp;L'!E17:E19)*0.2</f>
        <v>1000</v>
      </c>
      <c r="G29" s="79">
        <f>SUM('P&amp;L'!F17:F19)*0.2</f>
        <v>1000</v>
      </c>
      <c r="H29" s="79">
        <f>SUM('P&amp;L'!G17:G19)*0.2</f>
        <v>1000</v>
      </c>
      <c r="I29" s="79">
        <f>SUM('P&amp;L'!H17:H19)*0.2</f>
        <v>1000</v>
      </c>
      <c r="J29" s="79">
        <f>SUM('P&amp;L'!I17:I19)*0.2</f>
        <v>1000</v>
      </c>
      <c r="K29" s="79">
        <f>SUM('P&amp;L'!J17:J19)*0.2</f>
        <v>1000</v>
      </c>
      <c r="L29" s="79">
        <f>SUM('P&amp;L'!K17:K19)*0.2</f>
        <v>1000</v>
      </c>
      <c r="M29" s="79">
        <f>SUM('P&amp;L'!L17:L19)*0.2</f>
        <v>1000</v>
      </c>
      <c r="N29" s="82">
        <f t="shared" si="7"/>
        <v>11000</v>
      </c>
      <c r="O29" s="79"/>
      <c r="P29" s="79">
        <f>-'Bal Sht'!M11</f>
        <v>1000</v>
      </c>
      <c r="Q29" s="79">
        <f>-'Bal Sht'!P11</f>
        <v>1333.333333</v>
      </c>
      <c r="R29" s="79">
        <f>-'Bal Sht'!Q11</f>
        <v>1333.333333</v>
      </c>
      <c r="S29" s="79">
        <f>-'Bal Sht'!R11</f>
        <v>1333.333333</v>
      </c>
      <c r="T29" s="79">
        <f>-'Bal Sht'!S11</f>
        <v>1333.333333</v>
      </c>
      <c r="U29" s="79">
        <f>-'Bal Sht'!T11</f>
        <v>1333.333333</v>
      </c>
      <c r="V29" s="79">
        <f>-'Bal Sht'!U11</f>
        <v>1333.333333</v>
      </c>
      <c r="W29" s="79">
        <f>-'Bal Sht'!V11</f>
        <v>1333.333333</v>
      </c>
      <c r="X29" s="79">
        <f>-'Bal Sht'!W11</f>
        <v>1333.333333</v>
      </c>
      <c r="Y29" s="79">
        <f>-'Bal Sht'!X11</f>
        <v>1333.333333</v>
      </c>
      <c r="Z29" s="79">
        <f>-'Bal Sht'!Y11</f>
        <v>1333.333333</v>
      </c>
      <c r="AA29" s="79">
        <f>-'Bal Sht'!Z11</f>
        <v>1333.333333</v>
      </c>
      <c r="AB29" s="82">
        <f t="shared" si="8"/>
        <v>15666.66667</v>
      </c>
      <c r="AC29" s="79"/>
      <c r="AD29" s="79">
        <f>-'Bal Sht'!AA11</f>
        <v>1333.333333</v>
      </c>
      <c r="AE29" s="79">
        <f>-'Bal Sht'!AD11</f>
        <v>1750</v>
      </c>
      <c r="AF29" s="79">
        <f>-'Bal Sht'!AE11</f>
        <v>1750</v>
      </c>
      <c r="AG29" s="79">
        <f>-'Bal Sht'!AF11</f>
        <v>1750</v>
      </c>
      <c r="AH29" s="79">
        <f>-'Bal Sht'!AG11</f>
        <v>1750</v>
      </c>
      <c r="AI29" s="79">
        <f>-'Bal Sht'!AH11</f>
        <v>1750</v>
      </c>
      <c r="AJ29" s="79">
        <f>-'Bal Sht'!AI11</f>
        <v>1750</v>
      </c>
      <c r="AK29" s="79">
        <f>-'Bal Sht'!AJ11</f>
        <v>1750</v>
      </c>
      <c r="AL29" s="79">
        <f>-'Bal Sht'!AK11</f>
        <v>1750</v>
      </c>
      <c r="AM29" s="79">
        <f>-'Bal Sht'!AL11</f>
        <v>1750</v>
      </c>
      <c r="AN29" s="79">
        <f>-'Bal Sht'!AM11</f>
        <v>1750</v>
      </c>
      <c r="AO29" s="79">
        <f>-'Bal Sht'!AN11</f>
        <v>1750</v>
      </c>
      <c r="AP29" s="82">
        <f t="shared" si="9"/>
        <v>20583.33333</v>
      </c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82"/>
    </row>
    <row r="30" ht="15.75" customHeight="1">
      <c r="A30" s="24" t="s">
        <v>139</v>
      </c>
      <c r="B30" s="79"/>
      <c r="C30" s="79"/>
      <c r="D30" s="79"/>
      <c r="E30" s="79">
        <f>-IF('Bal Sht'!D9&gt;0,0,'Bal Sht'!D9)</f>
        <v>0</v>
      </c>
      <c r="F30" s="79"/>
      <c r="G30" s="79"/>
      <c r="H30" s="79">
        <f>-IF('Bal Sht'!G9&gt;0,0,'Bal Sht'!G9)</f>
        <v>0</v>
      </c>
      <c r="I30" s="79"/>
      <c r="J30" s="79"/>
      <c r="K30" s="79">
        <f>-IF('Bal Sht'!J9&gt;0,0,'Bal Sht'!J9)</f>
        <v>0</v>
      </c>
      <c r="L30" s="79"/>
      <c r="M30" s="79"/>
      <c r="N30" s="82">
        <f t="shared" si="7"/>
        <v>0</v>
      </c>
      <c r="O30" s="79"/>
      <c r="P30" s="79">
        <f>-IF('Bal Sht'!M9&gt;0,0,'Bal Sht'!M9)</f>
        <v>0</v>
      </c>
      <c r="Q30" s="79"/>
      <c r="R30" s="79"/>
      <c r="S30" s="79">
        <f>-IF('Bal Sht'!R9&gt;0,0,'Bal Sht'!R9)</f>
        <v>2517.59006</v>
      </c>
      <c r="T30" s="79"/>
      <c r="U30" s="79"/>
      <c r="V30" s="79">
        <f>-IF('Bal Sht'!U9&gt;0,0,'Bal Sht'!U9)</f>
        <v>7984.78286</v>
      </c>
      <c r="W30" s="79"/>
      <c r="X30" s="79"/>
      <c r="Y30" s="79">
        <f>-IF('Bal Sht'!X9&gt;0,0,'Bal Sht'!X9)</f>
        <v>19029.52973</v>
      </c>
      <c r="Z30" s="79"/>
      <c r="AA30" s="79"/>
      <c r="AB30" s="82">
        <f t="shared" si="8"/>
        <v>29531.90265</v>
      </c>
      <c r="AC30" s="79"/>
      <c r="AD30" s="79">
        <f>-IF('Bal Sht'!AA9&gt;0,0,'Bal Sht'!AA9)</f>
        <v>37911.24879</v>
      </c>
      <c r="AE30" s="79"/>
      <c r="AF30" s="79"/>
      <c r="AG30" s="79">
        <f>-IF('Bal Sht'!AF9&gt;0,0,'Bal Sht'!AF9)</f>
        <v>63509.14454</v>
      </c>
      <c r="AH30" s="79"/>
      <c r="AI30" s="79"/>
      <c r="AJ30" s="79">
        <f>-IF('Bal Sht'!AI9&gt;0,0,'Bal Sht'!AI9)</f>
        <v>93475.51102</v>
      </c>
      <c r="AK30" s="79"/>
      <c r="AL30" s="79"/>
      <c r="AM30" s="79">
        <f>-IF('Bal Sht'!AL9&gt;0,0,'Bal Sht'!AL9)</f>
        <v>119540.6111</v>
      </c>
      <c r="AN30" s="79"/>
      <c r="AO30" s="79"/>
      <c r="AP30" s="82">
        <f t="shared" si="9"/>
        <v>314436.5154</v>
      </c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82"/>
    </row>
    <row r="31" ht="15.75" customHeight="1">
      <c r="A31" s="24" t="s">
        <v>140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82">
        <f t="shared" si="7"/>
        <v>0</v>
      </c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82">
        <f t="shared" si="8"/>
        <v>0</v>
      </c>
      <c r="AC31" s="79"/>
      <c r="AD31" s="79"/>
      <c r="AE31" s="79"/>
      <c r="AF31" s="79"/>
      <c r="AG31" s="79"/>
      <c r="AH31" s="79"/>
      <c r="AI31" s="79"/>
      <c r="AJ31" s="79"/>
      <c r="AK31" s="79"/>
      <c r="AL31" s="79">
        <f>-'P&amp;L'!AB37</f>
        <v>-20588.62673</v>
      </c>
      <c r="AM31" s="79"/>
      <c r="AN31" s="79"/>
      <c r="AO31" s="79"/>
      <c r="AP31" s="82">
        <f t="shared" si="9"/>
        <v>-20588.62673</v>
      </c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82"/>
    </row>
    <row r="32" ht="15.75" customHeight="1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82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82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2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82"/>
    </row>
    <row r="33" ht="15.75" customHeight="1">
      <c r="A33" s="30" t="s">
        <v>125</v>
      </c>
      <c r="B33" s="80">
        <f t="shared" ref="B33:N33" si="10">SUM(B14:B32)</f>
        <v>22500</v>
      </c>
      <c r="C33" s="80">
        <f t="shared" si="10"/>
        <v>14500</v>
      </c>
      <c r="D33" s="80">
        <f t="shared" si="10"/>
        <v>14500</v>
      </c>
      <c r="E33" s="80">
        <f t="shared" si="10"/>
        <v>14500</v>
      </c>
      <c r="F33" s="80">
        <f t="shared" si="10"/>
        <v>14500</v>
      </c>
      <c r="G33" s="80">
        <f t="shared" si="10"/>
        <v>14500</v>
      </c>
      <c r="H33" s="80">
        <f t="shared" si="10"/>
        <v>14500</v>
      </c>
      <c r="I33" s="80">
        <f t="shared" si="10"/>
        <v>14500</v>
      </c>
      <c r="J33" s="80">
        <f t="shared" si="10"/>
        <v>14500</v>
      </c>
      <c r="K33" s="80">
        <f t="shared" si="10"/>
        <v>14542.25283</v>
      </c>
      <c r="L33" s="80">
        <f t="shared" si="10"/>
        <v>14554.05712</v>
      </c>
      <c r="M33" s="80">
        <f t="shared" si="10"/>
        <v>14569.08927</v>
      </c>
      <c r="N33" s="80">
        <f t="shared" si="10"/>
        <v>182165.3992</v>
      </c>
      <c r="O33" s="82"/>
      <c r="P33" s="80">
        <f t="shared" ref="P33:AB33" si="11">SUM(P14:P32)</f>
        <v>14321.52132</v>
      </c>
      <c r="Q33" s="80">
        <f t="shared" si="11"/>
        <v>12279.04927</v>
      </c>
      <c r="R33" s="80">
        <f t="shared" si="11"/>
        <v>12309.58639</v>
      </c>
      <c r="S33" s="80">
        <f t="shared" si="11"/>
        <v>17265.53935</v>
      </c>
      <c r="T33" s="80">
        <f t="shared" si="11"/>
        <v>13595.86209</v>
      </c>
      <c r="U33" s="80">
        <f t="shared" si="11"/>
        <v>13655.26637</v>
      </c>
      <c r="V33" s="80">
        <f t="shared" si="11"/>
        <v>22913.0373</v>
      </c>
      <c r="W33" s="80">
        <f t="shared" si="11"/>
        <v>13816.94144</v>
      </c>
      <c r="X33" s="80">
        <f t="shared" si="11"/>
        <v>13923.26047</v>
      </c>
      <c r="Y33" s="80">
        <f t="shared" si="11"/>
        <v>33078.20529</v>
      </c>
      <c r="Z33" s="80">
        <f t="shared" si="11"/>
        <v>14193.8295</v>
      </c>
      <c r="AA33" s="80">
        <f t="shared" si="11"/>
        <v>14358.17668</v>
      </c>
      <c r="AB33" s="80">
        <f t="shared" si="11"/>
        <v>195710.2755</v>
      </c>
      <c r="AC33" s="82"/>
      <c r="AD33" s="80">
        <f t="shared" ref="AD33:AP33" si="12">SUM(AD14:AD32)</f>
        <v>57717.60338</v>
      </c>
      <c r="AE33" s="80">
        <f t="shared" si="12"/>
        <v>18018.06893</v>
      </c>
      <c r="AF33" s="80">
        <f t="shared" si="12"/>
        <v>18221.58524</v>
      </c>
      <c r="AG33" s="80">
        <f t="shared" si="12"/>
        <v>81936.66586</v>
      </c>
      <c r="AH33" s="80">
        <f t="shared" si="12"/>
        <v>21029.53669</v>
      </c>
      <c r="AI33" s="80">
        <f t="shared" si="12"/>
        <v>18821.76085</v>
      </c>
      <c r="AJ33" s="80">
        <f t="shared" si="12"/>
        <v>112474.9505</v>
      </c>
      <c r="AK33" s="80">
        <f t="shared" si="12"/>
        <v>19159.32385</v>
      </c>
      <c r="AL33" s="80">
        <f t="shared" si="12"/>
        <v>1111.131878</v>
      </c>
      <c r="AM33" s="80">
        <f t="shared" si="12"/>
        <v>138961.1245</v>
      </c>
      <c r="AN33" s="80">
        <f t="shared" si="12"/>
        <v>19522.46146</v>
      </c>
      <c r="AO33" s="80">
        <f t="shared" si="12"/>
        <v>19607.20896</v>
      </c>
      <c r="AP33" s="80">
        <f t="shared" si="12"/>
        <v>526581.422</v>
      </c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</row>
    <row r="34" ht="15.75" customHeight="1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82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82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2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82"/>
    </row>
    <row r="35" ht="15.75" customHeight="1">
      <c r="A35" s="30" t="s">
        <v>141</v>
      </c>
      <c r="B35" s="79">
        <v>0.0</v>
      </c>
      <c r="C35" s="79">
        <f t="shared" ref="C35:M35" si="13">B37</f>
        <v>142500</v>
      </c>
      <c r="D35" s="79">
        <f t="shared" si="13"/>
        <v>128000</v>
      </c>
      <c r="E35" s="79">
        <f t="shared" si="13"/>
        <v>113500</v>
      </c>
      <c r="F35" s="79">
        <f t="shared" si="13"/>
        <v>105250</v>
      </c>
      <c r="G35" s="79">
        <f t="shared" si="13"/>
        <v>90750</v>
      </c>
      <c r="H35" s="79">
        <f t="shared" si="13"/>
        <v>76250</v>
      </c>
      <c r="I35" s="79">
        <f t="shared" si="13"/>
        <v>66500</v>
      </c>
      <c r="J35" s="79">
        <f t="shared" si="13"/>
        <v>52000</v>
      </c>
      <c r="K35" s="79">
        <f t="shared" si="13"/>
        <v>37500</v>
      </c>
      <c r="L35" s="79">
        <f t="shared" si="13"/>
        <v>31933.03017</v>
      </c>
      <c r="M35" s="79">
        <f t="shared" si="13"/>
        <v>22784.68523</v>
      </c>
      <c r="N35" s="82">
        <f>B35</f>
        <v>0</v>
      </c>
      <c r="O35" s="79"/>
      <c r="P35" s="79">
        <f>M37</f>
        <v>15124.5233</v>
      </c>
      <c r="Q35" s="79">
        <f t="shared" ref="Q35:AA35" si="14">P37</f>
        <v>11642.71299</v>
      </c>
      <c r="R35" s="79">
        <f t="shared" si="14"/>
        <v>10601.92425</v>
      </c>
      <c r="S35" s="79">
        <f t="shared" si="14"/>
        <v>12584.30977</v>
      </c>
      <c r="T35" s="79">
        <f t="shared" si="14"/>
        <v>13447.03243</v>
      </c>
      <c r="U35" s="79">
        <f t="shared" si="14"/>
        <v>22770.71302</v>
      </c>
      <c r="V35" s="79">
        <f t="shared" si="14"/>
        <v>37975.41687</v>
      </c>
      <c r="W35" s="79">
        <f t="shared" si="14"/>
        <v>51221.15659</v>
      </c>
      <c r="X35" s="79">
        <f t="shared" si="14"/>
        <v>82431.6926</v>
      </c>
      <c r="Y35" s="79">
        <f t="shared" si="14"/>
        <v>124167.8124</v>
      </c>
      <c r="Z35" s="79">
        <f t="shared" si="14"/>
        <v>159290.4965</v>
      </c>
      <c r="AA35" s="79">
        <f t="shared" si="14"/>
        <v>227812.9503</v>
      </c>
      <c r="AB35" s="82">
        <f>P35</f>
        <v>15124.5233</v>
      </c>
      <c r="AC35" s="79"/>
      <c r="AD35" s="79">
        <f>AA37</f>
        <v>312605.7754</v>
      </c>
      <c r="AE35" s="79">
        <f t="shared" ref="AE35:AO35" si="15">AD37</f>
        <v>372190.2978</v>
      </c>
      <c r="AF35" s="79">
        <f t="shared" si="15"/>
        <v>490979.122</v>
      </c>
      <c r="AG35" s="79">
        <f t="shared" si="15"/>
        <v>629916.0606</v>
      </c>
      <c r="AH35" s="79">
        <f t="shared" si="15"/>
        <v>725731.5259</v>
      </c>
      <c r="AI35" s="79">
        <f t="shared" si="15"/>
        <v>902655.6578</v>
      </c>
      <c r="AJ35" s="79">
        <f t="shared" si="15"/>
        <v>1101009.982</v>
      </c>
      <c r="AK35" s="79">
        <f t="shared" si="15"/>
        <v>1223478.974</v>
      </c>
      <c r="AL35" s="79">
        <f t="shared" si="15"/>
        <v>1455252.036</v>
      </c>
      <c r="AM35" s="79">
        <f t="shared" si="15"/>
        <v>1719116.764</v>
      </c>
      <c r="AN35" s="79">
        <f t="shared" si="15"/>
        <v>1857206.983</v>
      </c>
      <c r="AO35" s="79">
        <f t="shared" si="15"/>
        <v>2124930.668</v>
      </c>
      <c r="AP35" s="82">
        <f>AD35</f>
        <v>312605.7754</v>
      </c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82"/>
    </row>
    <row r="36" ht="15.75" customHeight="1">
      <c r="A36" s="24" t="s">
        <v>142</v>
      </c>
      <c r="B36" s="79">
        <f t="shared" ref="B36:N36" si="16">B11-B33</f>
        <v>142500</v>
      </c>
      <c r="C36" s="79">
        <f t="shared" si="16"/>
        <v>-14500</v>
      </c>
      <c r="D36" s="79">
        <f t="shared" si="16"/>
        <v>-14500</v>
      </c>
      <c r="E36" s="79">
        <f t="shared" si="16"/>
        <v>-8250</v>
      </c>
      <c r="F36" s="79">
        <f t="shared" si="16"/>
        <v>-14500</v>
      </c>
      <c r="G36" s="79">
        <f t="shared" si="16"/>
        <v>-14500</v>
      </c>
      <c r="H36" s="79">
        <f t="shared" si="16"/>
        <v>-9750</v>
      </c>
      <c r="I36" s="79">
        <f t="shared" si="16"/>
        <v>-14500</v>
      </c>
      <c r="J36" s="79">
        <f t="shared" si="16"/>
        <v>-14500</v>
      </c>
      <c r="K36" s="79">
        <f t="shared" si="16"/>
        <v>-5566.969833</v>
      </c>
      <c r="L36" s="79">
        <f t="shared" si="16"/>
        <v>-9148.344933</v>
      </c>
      <c r="M36" s="79">
        <f t="shared" si="16"/>
        <v>-7660.161938</v>
      </c>
      <c r="N36" s="82">
        <f t="shared" si="16"/>
        <v>15124.5233</v>
      </c>
      <c r="O36" s="79"/>
      <c r="P36" s="79">
        <f t="shared" ref="P36:AB36" si="17">P11-P33</f>
        <v>-3481.810305</v>
      </c>
      <c r="Q36" s="79">
        <f t="shared" si="17"/>
        <v>-1040.788742</v>
      </c>
      <c r="R36" s="79">
        <f t="shared" si="17"/>
        <v>1982.385523</v>
      </c>
      <c r="S36" s="79">
        <f t="shared" si="17"/>
        <v>862.7226543</v>
      </c>
      <c r="T36" s="79">
        <f t="shared" si="17"/>
        <v>9323.680593</v>
      </c>
      <c r="U36" s="79">
        <f t="shared" si="17"/>
        <v>15204.70386</v>
      </c>
      <c r="V36" s="79">
        <f t="shared" si="17"/>
        <v>13245.73972</v>
      </c>
      <c r="W36" s="79">
        <f t="shared" si="17"/>
        <v>31210.53601</v>
      </c>
      <c r="X36" s="79">
        <f t="shared" si="17"/>
        <v>41736.1198</v>
      </c>
      <c r="Y36" s="79">
        <f t="shared" si="17"/>
        <v>35122.68412</v>
      </c>
      <c r="Z36" s="79">
        <f t="shared" si="17"/>
        <v>68522.45375</v>
      </c>
      <c r="AA36" s="79">
        <f t="shared" si="17"/>
        <v>84792.82514</v>
      </c>
      <c r="AB36" s="82">
        <f t="shared" si="17"/>
        <v>297481.2521</v>
      </c>
      <c r="AC36" s="79"/>
      <c r="AD36" s="79">
        <f t="shared" ref="AD36:AP36" si="18">AD11-AD33</f>
        <v>59584.52237</v>
      </c>
      <c r="AE36" s="79">
        <f t="shared" si="18"/>
        <v>118788.8242</v>
      </c>
      <c r="AF36" s="79">
        <f t="shared" si="18"/>
        <v>138936.9386</v>
      </c>
      <c r="AG36" s="79">
        <f t="shared" si="18"/>
        <v>95815.46533</v>
      </c>
      <c r="AH36" s="79">
        <f t="shared" si="18"/>
        <v>176924.1319</v>
      </c>
      <c r="AI36" s="79">
        <f t="shared" si="18"/>
        <v>198354.3244</v>
      </c>
      <c r="AJ36" s="79">
        <f t="shared" si="18"/>
        <v>122468.9923</v>
      </c>
      <c r="AK36" s="79">
        <f t="shared" si="18"/>
        <v>231773.0613</v>
      </c>
      <c r="AL36" s="79">
        <f t="shared" si="18"/>
        <v>263864.7285</v>
      </c>
      <c r="AM36" s="79">
        <f t="shared" si="18"/>
        <v>138090.2192</v>
      </c>
      <c r="AN36" s="79">
        <f t="shared" si="18"/>
        <v>267723.6843</v>
      </c>
      <c r="AO36" s="79">
        <f t="shared" si="18"/>
        <v>276113.6875</v>
      </c>
      <c r="AP36" s="82">
        <f t="shared" si="18"/>
        <v>2088438.58</v>
      </c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82"/>
    </row>
    <row r="37" ht="15.75" customHeight="1">
      <c r="A37" s="30" t="s">
        <v>143</v>
      </c>
      <c r="B37" s="93">
        <f t="shared" ref="B37:M37" si="19">B35+B36</f>
        <v>142500</v>
      </c>
      <c r="C37" s="93">
        <f t="shared" si="19"/>
        <v>128000</v>
      </c>
      <c r="D37" s="93">
        <f t="shared" si="19"/>
        <v>113500</v>
      </c>
      <c r="E37" s="93">
        <f t="shared" si="19"/>
        <v>105250</v>
      </c>
      <c r="F37" s="93">
        <f t="shared" si="19"/>
        <v>90750</v>
      </c>
      <c r="G37" s="93">
        <f t="shared" si="19"/>
        <v>76250</v>
      </c>
      <c r="H37" s="93">
        <f t="shared" si="19"/>
        <v>66500</v>
      </c>
      <c r="I37" s="93">
        <f t="shared" si="19"/>
        <v>52000</v>
      </c>
      <c r="J37" s="93">
        <f t="shared" si="19"/>
        <v>37500</v>
      </c>
      <c r="K37" s="93">
        <f t="shared" si="19"/>
        <v>31933.03017</v>
      </c>
      <c r="L37" s="93">
        <f t="shared" si="19"/>
        <v>22784.68523</v>
      </c>
      <c r="M37" s="93">
        <f t="shared" si="19"/>
        <v>15124.5233</v>
      </c>
      <c r="N37" s="80">
        <f>SUM(N35:N36)</f>
        <v>15124.5233</v>
      </c>
      <c r="O37" s="79"/>
      <c r="P37" s="93">
        <f t="shared" ref="P37:AA37" si="20">P35+P36</f>
        <v>11642.71299</v>
      </c>
      <c r="Q37" s="93">
        <f t="shared" si="20"/>
        <v>10601.92425</v>
      </c>
      <c r="R37" s="93">
        <f t="shared" si="20"/>
        <v>12584.30977</v>
      </c>
      <c r="S37" s="93">
        <f t="shared" si="20"/>
        <v>13447.03243</v>
      </c>
      <c r="T37" s="93">
        <f t="shared" si="20"/>
        <v>22770.71302</v>
      </c>
      <c r="U37" s="93">
        <f t="shared" si="20"/>
        <v>37975.41687</v>
      </c>
      <c r="V37" s="93">
        <f t="shared" si="20"/>
        <v>51221.15659</v>
      </c>
      <c r="W37" s="93">
        <f t="shared" si="20"/>
        <v>82431.6926</v>
      </c>
      <c r="X37" s="93">
        <f t="shared" si="20"/>
        <v>124167.8124</v>
      </c>
      <c r="Y37" s="93">
        <f t="shared" si="20"/>
        <v>159290.4965</v>
      </c>
      <c r="Z37" s="93">
        <f t="shared" si="20"/>
        <v>227812.9503</v>
      </c>
      <c r="AA37" s="93">
        <f t="shared" si="20"/>
        <v>312605.7754</v>
      </c>
      <c r="AB37" s="80">
        <f>SUM(AB35:AB36)</f>
        <v>312605.7754</v>
      </c>
      <c r="AC37" s="79"/>
      <c r="AD37" s="93">
        <f t="shared" ref="AD37:AO37" si="21">AD35+AD36</f>
        <v>372190.2978</v>
      </c>
      <c r="AE37" s="93">
        <f t="shared" si="21"/>
        <v>490979.122</v>
      </c>
      <c r="AF37" s="93">
        <f t="shared" si="21"/>
        <v>629916.0606</v>
      </c>
      <c r="AG37" s="93">
        <f t="shared" si="21"/>
        <v>725731.5259</v>
      </c>
      <c r="AH37" s="93">
        <f t="shared" si="21"/>
        <v>902655.6578</v>
      </c>
      <c r="AI37" s="93">
        <f t="shared" si="21"/>
        <v>1101009.982</v>
      </c>
      <c r="AJ37" s="93">
        <f t="shared" si="21"/>
        <v>1223478.974</v>
      </c>
      <c r="AK37" s="93">
        <f t="shared" si="21"/>
        <v>1455252.036</v>
      </c>
      <c r="AL37" s="93">
        <f t="shared" si="21"/>
        <v>1719116.764</v>
      </c>
      <c r="AM37" s="93">
        <f t="shared" si="21"/>
        <v>1857206.983</v>
      </c>
      <c r="AN37" s="93">
        <f t="shared" si="21"/>
        <v>2124930.668</v>
      </c>
      <c r="AO37" s="93">
        <f t="shared" si="21"/>
        <v>2401044.355</v>
      </c>
      <c r="AP37" s="80">
        <f>SUM(AP35:AP36)</f>
        <v>2401044.355</v>
      </c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82"/>
    </row>
    <row r="38" ht="15.75" customHeight="1">
      <c r="N38" s="30"/>
      <c r="AB38" s="30"/>
      <c r="AP38" s="30"/>
      <c r="BD38" s="30"/>
    </row>
    <row r="39" ht="15.75" customHeight="1">
      <c r="N39" s="30"/>
      <c r="AB39" s="30"/>
      <c r="AP39" s="30"/>
      <c r="BD39" s="30"/>
    </row>
    <row r="40" ht="15.75" customHeight="1">
      <c r="N40" s="30"/>
      <c r="AB40" s="30"/>
      <c r="AP40" s="30"/>
      <c r="BD40" s="30"/>
    </row>
    <row r="41" ht="15.75" customHeight="1">
      <c r="N41" s="30"/>
      <c r="AB41" s="30"/>
      <c r="AP41" s="30"/>
      <c r="BD41" s="30"/>
    </row>
    <row r="42" ht="15.75" customHeight="1">
      <c r="N42" s="30"/>
      <c r="AB42" s="30"/>
      <c r="AP42" s="30"/>
      <c r="BD42" s="30"/>
    </row>
    <row r="43" ht="15.75" customHeight="1">
      <c r="N43" s="30"/>
      <c r="AB43" s="30"/>
      <c r="AP43" s="30"/>
      <c r="BD43" s="30"/>
    </row>
    <row r="44" ht="15.75" customHeight="1">
      <c r="N44" s="30"/>
      <c r="AB44" s="30"/>
      <c r="AP44" s="30"/>
      <c r="BD44" s="30"/>
    </row>
    <row r="45" ht="15.75" customHeight="1">
      <c r="N45" s="30"/>
      <c r="AB45" s="30"/>
      <c r="AP45" s="30"/>
      <c r="BD45" s="30"/>
    </row>
    <row r="46" ht="15.75" customHeight="1">
      <c r="N46" s="30"/>
      <c r="AB46" s="30"/>
      <c r="AP46" s="30"/>
      <c r="BD46" s="30"/>
    </row>
    <row r="47" ht="15.75" customHeight="1">
      <c r="N47" s="30"/>
      <c r="AB47" s="30"/>
      <c r="AP47" s="30"/>
      <c r="BD47" s="30"/>
    </row>
    <row r="48" ht="15.75" customHeight="1">
      <c r="N48" s="30"/>
      <c r="AB48" s="30"/>
      <c r="AP48" s="30"/>
      <c r="BD48" s="30"/>
    </row>
    <row r="49" ht="15.75" customHeight="1">
      <c r="N49" s="30"/>
      <c r="AB49" s="30"/>
      <c r="AP49" s="30"/>
      <c r="BD49" s="30"/>
    </row>
    <row r="50" ht="15.75" customHeight="1">
      <c r="N50" s="30"/>
      <c r="AB50" s="30"/>
      <c r="AP50" s="30"/>
      <c r="BD50" s="30"/>
    </row>
    <row r="51" ht="15.75" customHeight="1">
      <c r="N51" s="30"/>
      <c r="AB51" s="30"/>
      <c r="AP51" s="30"/>
      <c r="BD51" s="30"/>
    </row>
    <row r="52" ht="15.75" customHeight="1">
      <c r="N52" s="30"/>
      <c r="AB52" s="30"/>
      <c r="AP52" s="30"/>
      <c r="BD52" s="30"/>
    </row>
    <row r="53" ht="15.75" customHeight="1">
      <c r="N53" s="30"/>
      <c r="AB53" s="30"/>
      <c r="AP53" s="30"/>
      <c r="BD53" s="30"/>
    </row>
    <row r="54" ht="15.75" customHeight="1">
      <c r="N54" s="30"/>
      <c r="AB54" s="30"/>
      <c r="AP54" s="30"/>
      <c r="BD54" s="30"/>
    </row>
    <row r="55" ht="15.75" customHeight="1">
      <c r="N55" s="30"/>
      <c r="AB55" s="30"/>
      <c r="AP55" s="30"/>
      <c r="BD55" s="30"/>
    </row>
    <row r="56" ht="15.75" customHeight="1">
      <c r="N56" s="30"/>
      <c r="AB56" s="30"/>
      <c r="AP56" s="30"/>
      <c r="BD56" s="30"/>
    </row>
    <row r="57" ht="15.75" customHeight="1">
      <c r="N57" s="30"/>
      <c r="AB57" s="30"/>
      <c r="AP57" s="30"/>
      <c r="BD57" s="30"/>
    </row>
    <row r="58" ht="15.75" customHeight="1">
      <c r="N58" s="30"/>
      <c r="AB58" s="30"/>
      <c r="AP58" s="30"/>
      <c r="BD58" s="30"/>
    </row>
    <row r="59" ht="15.75" customHeight="1">
      <c r="N59" s="30"/>
      <c r="AB59" s="30"/>
      <c r="AP59" s="30"/>
      <c r="BD59" s="30"/>
    </row>
    <row r="60" ht="15.75" customHeight="1">
      <c r="N60" s="30"/>
      <c r="AB60" s="30"/>
      <c r="AP60" s="30"/>
      <c r="BD60" s="30"/>
    </row>
    <row r="61" ht="15.75" customHeight="1">
      <c r="N61" s="30"/>
      <c r="AB61" s="30"/>
      <c r="AP61" s="30"/>
      <c r="BD61" s="30"/>
    </row>
    <row r="62" ht="15.75" customHeight="1">
      <c r="N62" s="30"/>
      <c r="AB62" s="30"/>
      <c r="AP62" s="30"/>
      <c r="BD62" s="30"/>
    </row>
    <row r="63" ht="15.75" customHeight="1">
      <c r="N63" s="30"/>
      <c r="AB63" s="30"/>
      <c r="AP63" s="30"/>
      <c r="BD63" s="30"/>
    </row>
    <row r="64" ht="15.75" customHeight="1">
      <c r="N64" s="30"/>
      <c r="AB64" s="30"/>
      <c r="AP64" s="30"/>
      <c r="BD64" s="30"/>
    </row>
    <row r="65" ht="15.75" customHeight="1">
      <c r="N65" s="30"/>
      <c r="AB65" s="30"/>
      <c r="AP65" s="30"/>
      <c r="BD65" s="30"/>
    </row>
    <row r="66" ht="15.75" customHeight="1">
      <c r="N66" s="30"/>
      <c r="AB66" s="30"/>
      <c r="AP66" s="30"/>
      <c r="BD66" s="30"/>
    </row>
    <row r="67" ht="15.75" customHeight="1">
      <c r="N67" s="30"/>
      <c r="AB67" s="30"/>
      <c r="AP67" s="30"/>
      <c r="BD67" s="30"/>
    </row>
    <row r="68" ht="15.75" customHeight="1">
      <c r="N68" s="30"/>
      <c r="AB68" s="30"/>
      <c r="AP68" s="30"/>
      <c r="BD68" s="30"/>
    </row>
    <row r="69" ht="15.75" customHeight="1">
      <c r="N69" s="30"/>
      <c r="AB69" s="30"/>
      <c r="AP69" s="30"/>
      <c r="BD69" s="30"/>
    </row>
    <row r="70" ht="15.75" customHeight="1">
      <c r="N70" s="30"/>
      <c r="AB70" s="30"/>
      <c r="AP70" s="30"/>
      <c r="BD70" s="30"/>
    </row>
    <row r="71" ht="15.75" customHeight="1">
      <c r="N71" s="30"/>
      <c r="AB71" s="30"/>
      <c r="AP71" s="30"/>
      <c r="BD71" s="30"/>
    </row>
    <row r="72" ht="15.75" customHeight="1">
      <c r="N72" s="30"/>
      <c r="AB72" s="30"/>
      <c r="AP72" s="30"/>
      <c r="BD72" s="30"/>
    </row>
    <row r="73" ht="15.75" customHeight="1">
      <c r="N73" s="30"/>
      <c r="AB73" s="30"/>
      <c r="AP73" s="30"/>
      <c r="BD73" s="30"/>
    </row>
    <row r="74" ht="15.75" customHeight="1">
      <c r="N74" s="30"/>
      <c r="AB74" s="30"/>
      <c r="AP74" s="30"/>
      <c r="BD74" s="30"/>
    </row>
    <row r="75" ht="15.75" customHeight="1">
      <c r="N75" s="30"/>
      <c r="AB75" s="30"/>
      <c r="AP75" s="30"/>
      <c r="BD75" s="30"/>
    </row>
    <row r="76" ht="15.75" customHeight="1">
      <c r="N76" s="30"/>
      <c r="AB76" s="30"/>
      <c r="AP76" s="30"/>
      <c r="BD76" s="30"/>
    </row>
    <row r="77" ht="15.75" customHeight="1">
      <c r="N77" s="30"/>
      <c r="AB77" s="30"/>
      <c r="AP77" s="30"/>
      <c r="BD77" s="30"/>
    </row>
    <row r="78" ht="15.75" customHeight="1">
      <c r="N78" s="30"/>
      <c r="AB78" s="30"/>
      <c r="AP78" s="30"/>
      <c r="BD78" s="30"/>
    </row>
    <row r="79" ht="15.75" customHeight="1">
      <c r="N79" s="30"/>
      <c r="AB79" s="30"/>
      <c r="AP79" s="30"/>
      <c r="BD79" s="30"/>
    </row>
    <row r="80" ht="15.75" customHeight="1">
      <c r="N80" s="30"/>
      <c r="AB80" s="30"/>
      <c r="AP80" s="30"/>
      <c r="BD80" s="30"/>
    </row>
    <row r="81" ht="15.75" customHeight="1">
      <c r="N81" s="30"/>
      <c r="AB81" s="30"/>
      <c r="AP81" s="30"/>
      <c r="BD81" s="30"/>
    </row>
    <row r="82" ht="15.75" customHeight="1">
      <c r="N82" s="30"/>
      <c r="AB82" s="30"/>
      <c r="AP82" s="30"/>
      <c r="BD82" s="30"/>
    </row>
    <row r="83" ht="15.75" customHeight="1">
      <c r="N83" s="30"/>
      <c r="AB83" s="30"/>
      <c r="AP83" s="30"/>
      <c r="BD83" s="30"/>
    </row>
    <row r="84" ht="15.75" customHeight="1">
      <c r="N84" s="30"/>
      <c r="AB84" s="30"/>
      <c r="AP84" s="30"/>
      <c r="BD84" s="30"/>
    </row>
    <row r="85" ht="15.75" customHeight="1">
      <c r="N85" s="30"/>
      <c r="AB85" s="30"/>
      <c r="AP85" s="30"/>
      <c r="BD85" s="30"/>
    </row>
    <row r="86" ht="15.75" customHeight="1">
      <c r="N86" s="30"/>
      <c r="AB86" s="30"/>
      <c r="AP86" s="30"/>
      <c r="BD86" s="30"/>
    </row>
    <row r="87" ht="15.75" customHeight="1">
      <c r="N87" s="30"/>
      <c r="AB87" s="30"/>
      <c r="AP87" s="30"/>
      <c r="BD87" s="30"/>
    </row>
    <row r="88" ht="15.75" customHeight="1">
      <c r="N88" s="30"/>
      <c r="AB88" s="30"/>
      <c r="AP88" s="30"/>
      <c r="BD88" s="30"/>
    </row>
    <row r="89" ht="15.75" customHeight="1">
      <c r="N89" s="30"/>
      <c r="AB89" s="30"/>
      <c r="AP89" s="30"/>
      <c r="BD89" s="30"/>
    </row>
    <row r="90" ht="15.75" customHeight="1">
      <c r="N90" s="30"/>
      <c r="AB90" s="30"/>
      <c r="AP90" s="30"/>
      <c r="BD90" s="30"/>
    </row>
    <row r="91" ht="15.75" customHeight="1">
      <c r="N91" s="30"/>
      <c r="AB91" s="30"/>
      <c r="AP91" s="30"/>
      <c r="BD91" s="30"/>
    </row>
    <row r="92" ht="15.75" customHeight="1">
      <c r="N92" s="30"/>
      <c r="AB92" s="30"/>
      <c r="AP92" s="30"/>
      <c r="BD92" s="30"/>
    </row>
    <row r="93" ht="15.75" customHeight="1">
      <c r="N93" s="30"/>
      <c r="AB93" s="30"/>
      <c r="AP93" s="30"/>
      <c r="BD93" s="30"/>
    </row>
    <row r="94" ht="15.75" customHeight="1">
      <c r="N94" s="30"/>
      <c r="AB94" s="30"/>
      <c r="AP94" s="30"/>
      <c r="BD94" s="30"/>
    </row>
    <row r="95" ht="15.75" customHeight="1">
      <c r="N95" s="30"/>
      <c r="AB95" s="30"/>
      <c r="AP95" s="30"/>
      <c r="BD95" s="30"/>
    </row>
    <row r="96" ht="15.75" customHeight="1">
      <c r="N96" s="30"/>
      <c r="AB96" s="30"/>
      <c r="AP96" s="30"/>
      <c r="BD96" s="30"/>
    </row>
    <row r="97" ht="15.75" customHeight="1">
      <c r="N97" s="30"/>
      <c r="AB97" s="30"/>
      <c r="AP97" s="30"/>
      <c r="BD97" s="30"/>
    </row>
    <row r="98" ht="15.75" customHeight="1">
      <c r="N98" s="30"/>
      <c r="AB98" s="30"/>
      <c r="AP98" s="30"/>
      <c r="BD98" s="30"/>
    </row>
    <row r="99" ht="15.75" customHeight="1">
      <c r="N99" s="30"/>
      <c r="AB99" s="30"/>
      <c r="AP99" s="30"/>
      <c r="BD99" s="30"/>
    </row>
    <row r="100" ht="15.75" customHeight="1">
      <c r="N100" s="30"/>
      <c r="AB100" s="30"/>
      <c r="AP100" s="30"/>
      <c r="BD100" s="30"/>
    </row>
    <row r="101" ht="15.75" customHeight="1">
      <c r="N101" s="30"/>
      <c r="AB101" s="30"/>
      <c r="AP101" s="30"/>
      <c r="BD101" s="30"/>
    </row>
    <row r="102" ht="15.75" customHeight="1">
      <c r="N102" s="30"/>
      <c r="AB102" s="30"/>
      <c r="AP102" s="30"/>
      <c r="BD102" s="30"/>
    </row>
    <row r="103" ht="15.75" customHeight="1">
      <c r="N103" s="30"/>
      <c r="AB103" s="30"/>
      <c r="AP103" s="30"/>
      <c r="BD103" s="30"/>
    </row>
    <row r="104" ht="15.75" customHeight="1">
      <c r="N104" s="30"/>
      <c r="AB104" s="30"/>
      <c r="AP104" s="30"/>
      <c r="BD104" s="30"/>
    </row>
    <row r="105" ht="15.75" customHeight="1">
      <c r="N105" s="30"/>
      <c r="AB105" s="30"/>
      <c r="AP105" s="30"/>
      <c r="BD105" s="30"/>
    </row>
    <row r="106" ht="15.75" customHeight="1">
      <c r="N106" s="30"/>
      <c r="AB106" s="30"/>
      <c r="AP106" s="30"/>
      <c r="BD106" s="30"/>
    </row>
    <row r="107" ht="15.75" customHeight="1">
      <c r="N107" s="30"/>
      <c r="AB107" s="30"/>
      <c r="AP107" s="30"/>
      <c r="BD107" s="30"/>
    </row>
    <row r="108" ht="15.75" customHeight="1">
      <c r="N108" s="30"/>
      <c r="AB108" s="30"/>
      <c r="AP108" s="30"/>
      <c r="BD108" s="30"/>
    </row>
    <row r="109" ht="15.75" customHeight="1">
      <c r="N109" s="30"/>
      <c r="AB109" s="30"/>
      <c r="AP109" s="30"/>
      <c r="BD109" s="30"/>
    </row>
    <row r="110" ht="15.75" customHeight="1">
      <c r="N110" s="30"/>
      <c r="AB110" s="30"/>
      <c r="AP110" s="30"/>
      <c r="BD110" s="30"/>
    </row>
    <row r="111" ht="15.75" customHeight="1">
      <c r="N111" s="30"/>
      <c r="AB111" s="30"/>
      <c r="AP111" s="30"/>
      <c r="BD111" s="30"/>
    </row>
    <row r="112" ht="15.75" customHeight="1">
      <c r="N112" s="30"/>
      <c r="AB112" s="30"/>
      <c r="AP112" s="30"/>
      <c r="BD112" s="30"/>
    </row>
    <row r="113" ht="15.75" customHeight="1">
      <c r="N113" s="30"/>
      <c r="AB113" s="30"/>
      <c r="AP113" s="30"/>
      <c r="BD113" s="30"/>
    </row>
    <row r="114" ht="15.75" customHeight="1">
      <c r="N114" s="30"/>
      <c r="AB114" s="30"/>
      <c r="AP114" s="30"/>
      <c r="BD114" s="30"/>
    </row>
    <row r="115" ht="15.75" customHeight="1">
      <c r="N115" s="30"/>
      <c r="AB115" s="30"/>
      <c r="AP115" s="30"/>
      <c r="BD115" s="30"/>
    </row>
    <row r="116" ht="15.75" customHeight="1">
      <c r="N116" s="30"/>
      <c r="AB116" s="30"/>
      <c r="AP116" s="30"/>
      <c r="BD116" s="30"/>
    </row>
    <row r="117" ht="15.75" customHeight="1">
      <c r="N117" s="30"/>
      <c r="AB117" s="30"/>
      <c r="AP117" s="30"/>
      <c r="BD117" s="30"/>
    </row>
    <row r="118" ht="15.75" customHeight="1">
      <c r="N118" s="30"/>
      <c r="AB118" s="30"/>
      <c r="AP118" s="30"/>
      <c r="BD118" s="30"/>
    </row>
    <row r="119" ht="15.75" customHeight="1">
      <c r="N119" s="30"/>
      <c r="AB119" s="30"/>
      <c r="AP119" s="30"/>
      <c r="BD119" s="30"/>
    </row>
    <row r="120" ht="15.75" customHeight="1">
      <c r="N120" s="30"/>
      <c r="AB120" s="30"/>
      <c r="AP120" s="30"/>
      <c r="BD120" s="30"/>
    </row>
    <row r="121" ht="15.75" customHeight="1">
      <c r="N121" s="30"/>
      <c r="AB121" s="30"/>
      <c r="AP121" s="30"/>
      <c r="BD121" s="30"/>
    </row>
    <row r="122" ht="15.75" customHeight="1">
      <c r="N122" s="30"/>
      <c r="AB122" s="30"/>
      <c r="AP122" s="30"/>
      <c r="BD122" s="30"/>
    </row>
    <row r="123" ht="15.75" customHeight="1">
      <c r="N123" s="30"/>
      <c r="AB123" s="30"/>
      <c r="AP123" s="30"/>
      <c r="BD123" s="30"/>
    </row>
    <row r="124" ht="15.75" customHeight="1">
      <c r="N124" s="30"/>
      <c r="AB124" s="30"/>
      <c r="AP124" s="30"/>
      <c r="BD124" s="30"/>
    </row>
    <row r="125" ht="15.75" customHeight="1">
      <c r="N125" s="30"/>
      <c r="AB125" s="30"/>
      <c r="AP125" s="30"/>
      <c r="BD125" s="30"/>
    </row>
    <row r="126" ht="15.75" customHeight="1">
      <c r="N126" s="30"/>
      <c r="AB126" s="30"/>
      <c r="AP126" s="30"/>
      <c r="BD126" s="30"/>
    </row>
    <row r="127" ht="15.75" customHeight="1">
      <c r="N127" s="30"/>
      <c r="AB127" s="30"/>
      <c r="AP127" s="30"/>
      <c r="BD127" s="30"/>
    </row>
    <row r="128" ht="15.75" customHeight="1">
      <c r="N128" s="30"/>
      <c r="AB128" s="30"/>
      <c r="AP128" s="30"/>
      <c r="BD128" s="30"/>
    </row>
    <row r="129" ht="15.75" customHeight="1">
      <c r="N129" s="30"/>
      <c r="AB129" s="30"/>
      <c r="AP129" s="30"/>
      <c r="BD129" s="30"/>
    </row>
    <row r="130" ht="15.75" customHeight="1">
      <c r="N130" s="30"/>
      <c r="AB130" s="30"/>
      <c r="AP130" s="30"/>
      <c r="BD130" s="30"/>
    </row>
    <row r="131" ht="15.75" customHeight="1">
      <c r="N131" s="30"/>
      <c r="AB131" s="30"/>
      <c r="AP131" s="30"/>
      <c r="BD131" s="30"/>
    </row>
    <row r="132" ht="15.75" customHeight="1">
      <c r="N132" s="30"/>
      <c r="AB132" s="30"/>
      <c r="AP132" s="30"/>
      <c r="BD132" s="30"/>
    </row>
    <row r="133" ht="15.75" customHeight="1">
      <c r="N133" s="30"/>
      <c r="AB133" s="30"/>
      <c r="AP133" s="30"/>
      <c r="BD133" s="30"/>
    </row>
    <row r="134" ht="15.75" customHeight="1">
      <c r="N134" s="30"/>
      <c r="AB134" s="30"/>
      <c r="AP134" s="30"/>
      <c r="BD134" s="30"/>
    </row>
    <row r="135" ht="15.75" customHeight="1">
      <c r="N135" s="30"/>
      <c r="AB135" s="30"/>
      <c r="AP135" s="30"/>
      <c r="BD135" s="30"/>
    </row>
    <row r="136" ht="15.75" customHeight="1">
      <c r="N136" s="30"/>
      <c r="AB136" s="30"/>
      <c r="AP136" s="30"/>
      <c r="BD136" s="30"/>
    </row>
    <row r="137" ht="15.75" customHeight="1">
      <c r="N137" s="30"/>
      <c r="AB137" s="30"/>
      <c r="AP137" s="30"/>
      <c r="BD137" s="30"/>
    </row>
    <row r="138" ht="15.75" customHeight="1">
      <c r="N138" s="30"/>
      <c r="AB138" s="30"/>
      <c r="AP138" s="30"/>
      <c r="BD138" s="30"/>
    </row>
    <row r="139" ht="15.75" customHeight="1">
      <c r="N139" s="30"/>
      <c r="AB139" s="30"/>
      <c r="AP139" s="30"/>
      <c r="BD139" s="30"/>
    </row>
    <row r="140" ht="15.75" customHeight="1">
      <c r="N140" s="30"/>
      <c r="AB140" s="30"/>
      <c r="AP140" s="30"/>
      <c r="BD140" s="30"/>
    </row>
    <row r="141" ht="15.75" customHeight="1">
      <c r="N141" s="30"/>
      <c r="AB141" s="30"/>
      <c r="AP141" s="30"/>
      <c r="BD141" s="30"/>
    </row>
    <row r="142" ht="15.75" customHeight="1">
      <c r="N142" s="30"/>
      <c r="AB142" s="30"/>
      <c r="AP142" s="30"/>
      <c r="BD142" s="30"/>
    </row>
    <row r="143" ht="15.75" customHeight="1">
      <c r="N143" s="30"/>
      <c r="AB143" s="30"/>
      <c r="AP143" s="30"/>
      <c r="BD143" s="30"/>
    </row>
    <row r="144" ht="15.75" customHeight="1">
      <c r="N144" s="30"/>
      <c r="AB144" s="30"/>
      <c r="AP144" s="30"/>
      <c r="BD144" s="30"/>
    </row>
    <row r="145" ht="15.75" customHeight="1">
      <c r="N145" s="30"/>
      <c r="AB145" s="30"/>
      <c r="AP145" s="30"/>
      <c r="BD145" s="30"/>
    </row>
    <row r="146" ht="15.75" customHeight="1">
      <c r="N146" s="30"/>
      <c r="AB146" s="30"/>
      <c r="AP146" s="30"/>
      <c r="BD146" s="30"/>
    </row>
    <row r="147" ht="15.75" customHeight="1">
      <c r="N147" s="30"/>
      <c r="AB147" s="30"/>
      <c r="AP147" s="30"/>
      <c r="BD147" s="30"/>
    </row>
    <row r="148" ht="15.75" customHeight="1">
      <c r="N148" s="30"/>
      <c r="AB148" s="30"/>
      <c r="AP148" s="30"/>
      <c r="BD148" s="30"/>
    </row>
    <row r="149" ht="15.75" customHeight="1">
      <c r="N149" s="30"/>
      <c r="AB149" s="30"/>
      <c r="AP149" s="30"/>
      <c r="BD149" s="30"/>
    </row>
    <row r="150" ht="15.75" customHeight="1">
      <c r="N150" s="30"/>
      <c r="AB150" s="30"/>
      <c r="AP150" s="30"/>
      <c r="BD150" s="30"/>
    </row>
    <row r="151" ht="15.75" customHeight="1">
      <c r="N151" s="30"/>
      <c r="AB151" s="30"/>
      <c r="AP151" s="30"/>
      <c r="BD151" s="30"/>
    </row>
    <row r="152" ht="15.75" customHeight="1">
      <c r="N152" s="30"/>
      <c r="AB152" s="30"/>
      <c r="AP152" s="30"/>
      <c r="BD152" s="30"/>
    </row>
    <row r="153" ht="15.75" customHeight="1">
      <c r="N153" s="30"/>
      <c r="AB153" s="30"/>
      <c r="AP153" s="30"/>
      <c r="BD153" s="30"/>
    </row>
    <row r="154" ht="15.75" customHeight="1">
      <c r="N154" s="30"/>
      <c r="AB154" s="30"/>
      <c r="AP154" s="30"/>
      <c r="BD154" s="30"/>
    </row>
    <row r="155" ht="15.75" customHeight="1">
      <c r="N155" s="30"/>
      <c r="AB155" s="30"/>
      <c r="AP155" s="30"/>
      <c r="BD155" s="30"/>
    </row>
    <row r="156" ht="15.75" customHeight="1">
      <c r="N156" s="30"/>
      <c r="AB156" s="30"/>
      <c r="AP156" s="30"/>
      <c r="BD156" s="30"/>
    </row>
    <row r="157" ht="15.75" customHeight="1">
      <c r="N157" s="30"/>
      <c r="AB157" s="30"/>
      <c r="AP157" s="30"/>
      <c r="BD157" s="30"/>
    </row>
    <row r="158" ht="15.75" customHeight="1">
      <c r="N158" s="30"/>
      <c r="AB158" s="30"/>
      <c r="AP158" s="30"/>
      <c r="BD158" s="30"/>
    </row>
    <row r="159" ht="15.75" customHeight="1">
      <c r="N159" s="30"/>
      <c r="AB159" s="30"/>
      <c r="AP159" s="30"/>
      <c r="BD159" s="30"/>
    </row>
    <row r="160" ht="15.75" customHeight="1">
      <c r="N160" s="30"/>
      <c r="AB160" s="30"/>
      <c r="AP160" s="30"/>
      <c r="BD160" s="30"/>
    </row>
    <row r="161" ht="15.75" customHeight="1">
      <c r="N161" s="30"/>
      <c r="AB161" s="30"/>
      <c r="AP161" s="30"/>
      <c r="BD161" s="30"/>
    </row>
    <row r="162" ht="15.75" customHeight="1">
      <c r="N162" s="30"/>
      <c r="AB162" s="30"/>
      <c r="AP162" s="30"/>
      <c r="BD162" s="30"/>
    </row>
    <row r="163" ht="15.75" customHeight="1">
      <c r="N163" s="30"/>
      <c r="AB163" s="30"/>
      <c r="AP163" s="30"/>
      <c r="BD163" s="30"/>
    </row>
    <row r="164" ht="15.75" customHeight="1">
      <c r="N164" s="30"/>
      <c r="AB164" s="30"/>
      <c r="AP164" s="30"/>
      <c r="BD164" s="30"/>
    </row>
    <row r="165" ht="15.75" customHeight="1">
      <c r="N165" s="30"/>
      <c r="AB165" s="30"/>
      <c r="AP165" s="30"/>
      <c r="BD165" s="30"/>
    </row>
    <row r="166" ht="15.75" customHeight="1">
      <c r="N166" s="30"/>
      <c r="AB166" s="30"/>
      <c r="AP166" s="30"/>
      <c r="BD166" s="30"/>
    </row>
    <row r="167" ht="15.75" customHeight="1">
      <c r="N167" s="30"/>
      <c r="AB167" s="30"/>
      <c r="AP167" s="30"/>
      <c r="BD167" s="30"/>
    </row>
    <row r="168" ht="15.75" customHeight="1">
      <c r="N168" s="30"/>
      <c r="AB168" s="30"/>
      <c r="AP168" s="30"/>
      <c r="BD168" s="30"/>
    </row>
    <row r="169" ht="15.75" customHeight="1">
      <c r="N169" s="30"/>
      <c r="AB169" s="30"/>
      <c r="AP169" s="30"/>
      <c r="BD169" s="30"/>
    </row>
    <row r="170" ht="15.75" customHeight="1">
      <c r="N170" s="30"/>
      <c r="AB170" s="30"/>
      <c r="AP170" s="30"/>
      <c r="BD170" s="30"/>
    </row>
    <row r="171" ht="15.75" customHeight="1">
      <c r="N171" s="30"/>
      <c r="AB171" s="30"/>
      <c r="AP171" s="30"/>
      <c r="BD171" s="30"/>
    </row>
    <row r="172" ht="15.75" customHeight="1">
      <c r="N172" s="30"/>
      <c r="AB172" s="30"/>
      <c r="AP172" s="30"/>
      <c r="BD172" s="30"/>
    </row>
    <row r="173" ht="15.75" customHeight="1">
      <c r="N173" s="30"/>
      <c r="AB173" s="30"/>
      <c r="AP173" s="30"/>
      <c r="BD173" s="30"/>
    </row>
    <row r="174" ht="15.75" customHeight="1">
      <c r="N174" s="30"/>
      <c r="AB174" s="30"/>
      <c r="AP174" s="30"/>
      <c r="BD174" s="30"/>
    </row>
    <row r="175" ht="15.75" customHeight="1">
      <c r="N175" s="30"/>
      <c r="AB175" s="30"/>
      <c r="AP175" s="30"/>
      <c r="BD175" s="30"/>
    </row>
    <row r="176" ht="15.75" customHeight="1">
      <c r="N176" s="30"/>
      <c r="AB176" s="30"/>
      <c r="AP176" s="30"/>
      <c r="BD176" s="30"/>
    </row>
    <row r="177" ht="15.75" customHeight="1">
      <c r="N177" s="30"/>
      <c r="AB177" s="30"/>
      <c r="AP177" s="30"/>
      <c r="BD177" s="30"/>
    </row>
    <row r="178" ht="15.75" customHeight="1">
      <c r="N178" s="30"/>
      <c r="AB178" s="30"/>
      <c r="AP178" s="30"/>
      <c r="BD178" s="30"/>
    </row>
    <row r="179" ht="15.75" customHeight="1">
      <c r="N179" s="30"/>
      <c r="AB179" s="30"/>
      <c r="AP179" s="30"/>
      <c r="BD179" s="30"/>
    </row>
    <row r="180" ht="15.75" customHeight="1">
      <c r="N180" s="30"/>
      <c r="AB180" s="30"/>
      <c r="AP180" s="30"/>
      <c r="BD180" s="30"/>
    </row>
    <row r="181" ht="15.75" customHeight="1">
      <c r="N181" s="30"/>
      <c r="AB181" s="30"/>
      <c r="AP181" s="30"/>
      <c r="BD181" s="30"/>
    </row>
    <row r="182" ht="15.75" customHeight="1">
      <c r="N182" s="30"/>
      <c r="AB182" s="30"/>
      <c r="AP182" s="30"/>
      <c r="BD182" s="30"/>
    </row>
    <row r="183" ht="15.75" customHeight="1">
      <c r="N183" s="30"/>
      <c r="AB183" s="30"/>
      <c r="AP183" s="30"/>
      <c r="BD183" s="30"/>
    </row>
    <row r="184" ht="15.75" customHeight="1">
      <c r="N184" s="30"/>
      <c r="AB184" s="30"/>
      <c r="AP184" s="30"/>
      <c r="BD184" s="30"/>
    </row>
    <row r="185" ht="15.75" customHeight="1">
      <c r="N185" s="30"/>
      <c r="AB185" s="30"/>
      <c r="AP185" s="30"/>
      <c r="BD185" s="30"/>
    </row>
    <row r="186" ht="15.75" customHeight="1">
      <c r="N186" s="30"/>
      <c r="AB186" s="30"/>
      <c r="AP186" s="30"/>
      <c r="BD186" s="30"/>
    </row>
    <row r="187" ht="15.75" customHeight="1">
      <c r="N187" s="30"/>
      <c r="AB187" s="30"/>
      <c r="AP187" s="30"/>
      <c r="BD187" s="30"/>
    </row>
    <row r="188" ht="15.75" customHeight="1">
      <c r="N188" s="30"/>
      <c r="AB188" s="30"/>
      <c r="AP188" s="30"/>
      <c r="BD188" s="30"/>
    </row>
    <row r="189" ht="15.75" customHeight="1">
      <c r="N189" s="30"/>
      <c r="AB189" s="30"/>
      <c r="AP189" s="30"/>
      <c r="BD189" s="30"/>
    </row>
    <row r="190" ht="15.75" customHeight="1">
      <c r="N190" s="30"/>
      <c r="AB190" s="30"/>
      <c r="AP190" s="30"/>
      <c r="BD190" s="30"/>
    </row>
    <row r="191" ht="15.75" customHeight="1">
      <c r="N191" s="30"/>
      <c r="AB191" s="30"/>
      <c r="AP191" s="30"/>
      <c r="BD191" s="30"/>
    </row>
    <row r="192" ht="15.75" customHeight="1">
      <c r="N192" s="30"/>
      <c r="AB192" s="30"/>
      <c r="AP192" s="30"/>
      <c r="BD192" s="30"/>
    </row>
    <row r="193" ht="15.75" customHeight="1">
      <c r="N193" s="30"/>
      <c r="AB193" s="30"/>
      <c r="AP193" s="30"/>
      <c r="BD193" s="30"/>
    </row>
    <row r="194" ht="15.75" customHeight="1">
      <c r="N194" s="30"/>
      <c r="AB194" s="30"/>
      <c r="AP194" s="30"/>
      <c r="BD194" s="30"/>
    </row>
    <row r="195" ht="15.75" customHeight="1">
      <c r="N195" s="30"/>
      <c r="AB195" s="30"/>
      <c r="AP195" s="30"/>
      <c r="BD195" s="30"/>
    </row>
    <row r="196" ht="15.75" customHeight="1">
      <c r="N196" s="30"/>
      <c r="AB196" s="30"/>
      <c r="AP196" s="30"/>
      <c r="BD196" s="30"/>
    </row>
    <row r="197" ht="15.75" customHeight="1">
      <c r="N197" s="30"/>
      <c r="AB197" s="30"/>
      <c r="AP197" s="30"/>
      <c r="BD197" s="30"/>
    </row>
    <row r="198" ht="15.75" customHeight="1">
      <c r="N198" s="30"/>
      <c r="AB198" s="30"/>
      <c r="AP198" s="30"/>
      <c r="BD198" s="30"/>
    </row>
    <row r="199" ht="15.75" customHeight="1">
      <c r="N199" s="30"/>
      <c r="AB199" s="30"/>
      <c r="AP199" s="30"/>
      <c r="BD199" s="30"/>
    </row>
    <row r="200" ht="15.75" customHeight="1">
      <c r="N200" s="30"/>
      <c r="AB200" s="30"/>
      <c r="AP200" s="30"/>
      <c r="BD200" s="30"/>
    </row>
    <row r="201" ht="15.75" customHeight="1">
      <c r="N201" s="30"/>
      <c r="AB201" s="30"/>
      <c r="AP201" s="30"/>
      <c r="BD201" s="30"/>
    </row>
    <row r="202" ht="15.75" customHeight="1">
      <c r="N202" s="30"/>
      <c r="AB202" s="30"/>
      <c r="AP202" s="30"/>
      <c r="BD202" s="30"/>
    </row>
    <row r="203" ht="15.75" customHeight="1">
      <c r="N203" s="30"/>
      <c r="AB203" s="30"/>
      <c r="AP203" s="30"/>
      <c r="BD203" s="30"/>
    </row>
    <row r="204" ht="15.75" customHeight="1">
      <c r="N204" s="30"/>
      <c r="AB204" s="30"/>
      <c r="AP204" s="30"/>
      <c r="BD204" s="30"/>
    </row>
    <row r="205" ht="15.75" customHeight="1">
      <c r="N205" s="30"/>
      <c r="AB205" s="30"/>
      <c r="AP205" s="30"/>
      <c r="BD205" s="30"/>
    </row>
    <row r="206" ht="15.75" customHeight="1">
      <c r="N206" s="30"/>
      <c r="AB206" s="30"/>
      <c r="AP206" s="30"/>
      <c r="BD206" s="30"/>
    </row>
    <row r="207" ht="15.75" customHeight="1">
      <c r="N207" s="30"/>
      <c r="AB207" s="30"/>
      <c r="AP207" s="30"/>
      <c r="BD207" s="30"/>
    </row>
    <row r="208" ht="15.75" customHeight="1">
      <c r="N208" s="30"/>
      <c r="AB208" s="30"/>
      <c r="AP208" s="30"/>
      <c r="BD208" s="30"/>
    </row>
    <row r="209" ht="15.75" customHeight="1">
      <c r="N209" s="30"/>
      <c r="AB209" s="30"/>
      <c r="AP209" s="30"/>
      <c r="BD209" s="30"/>
    </row>
    <row r="210" ht="15.75" customHeight="1">
      <c r="N210" s="30"/>
      <c r="AB210" s="30"/>
      <c r="AP210" s="30"/>
      <c r="BD210" s="30"/>
    </row>
    <row r="211" ht="15.75" customHeight="1">
      <c r="N211" s="30"/>
      <c r="AB211" s="30"/>
      <c r="AP211" s="30"/>
      <c r="BD211" s="30"/>
    </row>
    <row r="212" ht="15.75" customHeight="1">
      <c r="N212" s="30"/>
      <c r="AB212" s="30"/>
      <c r="AP212" s="30"/>
      <c r="BD212" s="30"/>
    </row>
    <row r="213" ht="15.75" customHeight="1">
      <c r="N213" s="30"/>
      <c r="AB213" s="30"/>
      <c r="AP213" s="30"/>
      <c r="BD213" s="30"/>
    </row>
    <row r="214" ht="15.75" customHeight="1">
      <c r="N214" s="30"/>
      <c r="AB214" s="30"/>
      <c r="AP214" s="30"/>
      <c r="BD214" s="30"/>
    </row>
    <row r="215" ht="15.75" customHeight="1">
      <c r="N215" s="30"/>
      <c r="AB215" s="30"/>
      <c r="AP215" s="30"/>
      <c r="BD215" s="30"/>
    </row>
    <row r="216" ht="15.75" customHeight="1">
      <c r="N216" s="30"/>
      <c r="AB216" s="30"/>
      <c r="AP216" s="30"/>
      <c r="BD216" s="30"/>
    </row>
    <row r="217" ht="15.75" customHeight="1">
      <c r="N217" s="30"/>
      <c r="AB217" s="30"/>
      <c r="AP217" s="30"/>
      <c r="BD217" s="30"/>
    </row>
    <row r="218" ht="15.75" customHeight="1">
      <c r="N218" s="30"/>
      <c r="AB218" s="30"/>
      <c r="AP218" s="30"/>
      <c r="BD218" s="30"/>
    </row>
    <row r="219" ht="15.75" customHeight="1">
      <c r="N219" s="30"/>
      <c r="AB219" s="30"/>
      <c r="AP219" s="30"/>
      <c r="BD219" s="30"/>
    </row>
    <row r="220" ht="15.75" customHeight="1">
      <c r="N220" s="30"/>
      <c r="AB220" s="30"/>
      <c r="AP220" s="30"/>
      <c r="BD220" s="30"/>
    </row>
    <row r="221" ht="15.75" customHeight="1">
      <c r="N221" s="30"/>
      <c r="AB221" s="30"/>
      <c r="AP221" s="30"/>
      <c r="BD221" s="30"/>
    </row>
    <row r="222" ht="15.75" customHeight="1">
      <c r="N222" s="30"/>
      <c r="AB222" s="30"/>
      <c r="AP222" s="30"/>
      <c r="BD222" s="30"/>
    </row>
    <row r="223" ht="15.75" customHeight="1">
      <c r="N223" s="30"/>
      <c r="AB223" s="30"/>
      <c r="AP223" s="30"/>
      <c r="BD223" s="30"/>
    </row>
    <row r="224" ht="15.75" customHeight="1">
      <c r="N224" s="30"/>
      <c r="AB224" s="30"/>
      <c r="AP224" s="30"/>
      <c r="BD224" s="30"/>
    </row>
    <row r="225" ht="15.75" customHeight="1">
      <c r="N225" s="30"/>
      <c r="AB225" s="30"/>
      <c r="AP225" s="30"/>
      <c r="BD225" s="30"/>
    </row>
    <row r="226" ht="15.75" customHeight="1">
      <c r="N226" s="30"/>
      <c r="AB226" s="30"/>
      <c r="AP226" s="30"/>
      <c r="BD226" s="30"/>
    </row>
    <row r="227" ht="15.75" customHeight="1">
      <c r="N227" s="30"/>
      <c r="AB227" s="30"/>
      <c r="AP227" s="30"/>
      <c r="BD227" s="30"/>
    </row>
    <row r="228" ht="15.75" customHeight="1">
      <c r="N228" s="30"/>
      <c r="AB228" s="30"/>
      <c r="AP228" s="30"/>
      <c r="BD228" s="30"/>
    </row>
    <row r="229" ht="15.75" customHeight="1">
      <c r="N229" s="30"/>
      <c r="AB229" s="30"/>
      <c r="AP229" s="30"/>
      <c r="BD229" s="30"/>
    </row>
    <row r="230" ht="15.75" customHeight="1">
      <c r="N230" s="30"/>
      <c r="AB230" s="30"/>
      <c r="AP230" s="30"/>
      <c r="BD230" s="30"/>
    </row>
    <row r="231" ht="15.75" customHeight="1">
      <c r="N231" s="30"/>
      <c r="AB231" s="30"/>
      <c r="AP231" s="30"/>
      <c r="BD231" s="30"/>
    </row>
    <row r="232" ht="15.75" customHeight="1">
      <c r="N232" s="30"/>
      <c r="AB232" s="30"/>
      <c r="AP232" s="30"/>
      <c r="BD232" s="30"/>
    </row>
    <row r="233" ht="15.75" customHeight="1">
      <c r="N233" s="30"/>
      <c r="AB233" s="30"/>
      <c r="AP233" s="30"/>
      <c r="BD233" s="30"/>
    </row>
    <row r="234" ht="15.75" customHeight="1">
      <c r="N234" s="30"/>
      <c r="AB234" s="30"/>
      <c r="AP234" s="30"/>
      <c r="BD234" s="30"/>
    </row>
    <row r="235" ht="15.75" customHeight="1">
      <c r="N235" s="30"/>
      <c r="AB235" s="30"/>
      <c r="AP235" s="30"/>
      <c r="BD235" s="30"/>
    </row>
    <row r="236" ht="15.75" customHeight="1">
      <c r="N236" s="30"/>
      <c r="AB236" s="30"/>
      <c r="AP236" s="30"/>
      <c r="BD236" s="30"/>
    </row>
    <row r="237" ht="15.75" customHeight="1">
      <c r="N237" s="30"/>
      <c r="AB237" s="30"/>
      <c r="AP237" s="30"/>
      <c r="BD237" s="30"/>
    </row>
    <row r="238" ht="15.75" customHeight="1">
      <c r="N238" s="30"/>
      <c r="AB238" s="30"/>
      <c r="AP238" s="30"/>
      <c r="BD238" s="30"/>
    </row>
    <row r="239" ht="15.75" customHeight="1">
      <c r="N239" s="30"/>
      <c r="AB239" s="30"/>
      <c r="AP239" s="30"/>
      <c r="BD239" s="30"/>
    </row>
    <row r="240" ht="15.75" customHeight="1">
      <c r="N240" s="30"/>
      <c r="AB240" s="30"/>
      <c r="AP240" s="30"/>
      <c r="BD240" s="30"/>
    </row>
    <row r="241" ht="15.75" customHeight="1">
      <c r="N241" s="30"/>
      <c r="AB241" s="30"/>
      <c r="AP241" s="30"/>
      <c r="BD241" s="30"/>
    </row>
    <row r="242" ht="15.75" customHeight="1">
      <c r="N242" s="30"/>
      <c r="AB242" s="30"/>
      <c r="AP242" s="30"/>
      <c r="BD242" s="30"/>
    </row>
    <row r="243" ht="15.75" customHeight="1">
      <c r="N243" s="30"/>
      <c r="AB243" s="30"/>
      <c r="AP243" s="30"/>
      <c r="BD243" s="30"/>
    </row>
    <row r="244" ht="15.75" customHeight="1">
      <c r="N244" s="30"/>
      <c r="AB244" s="30"/>
      <c r="AP244" s="30"/>
      <c r="BD244" s="30"/>
    </row>
    <row r="245" ht="15.75" customHeight="1">
      <c r="N245" s="30"/>
      <c r="AB245" s="30"/>
      <c r="AP245" s="30"/>
      <c r="BD245" s="30"/>
    </row>
    <row r="246" ht="15.75" customHeight="1">
      <c r="N246" s="30"/>
      <c r="AB246" s="30"/>
      <c r="AP246" s="30"/>
      <c r="BD246" s="30"/>
    </row>
    <row r="247" ht="15.75" customHeight="1">
      <c r="N247" s="30"/>
      <c r="AB247" s="30"/>
      <c r="AP247" s="30"/>
      <c r="BD247" s="30"/>
    </row>
    <row r="248" ht="15.75" customHeight="1">
      <c r="N248" s="30"/>
      <c r="AB248" s="30"/>
      <c r="AP248" s="30"/>
      <c r="BD248" s="30"/>
    </row>
    <row r="249" ht="15.75" customHeight="1">
      <c r="N249" s="30"/>
      <c r="AB249" s="30"/>
      <c r="AP249" s="30"/>
      <c r="BD249" s="30"/>
    </row>
    <row r="250" ht="15.75" customHeight="1">
      <c r="N250" s="30"/>
      <c r="AB250" s="30"/>
      <c r="AP250" s="30"/>
      <c r="BD250" s="30"/>
    </row>
    <row r="251" ht="15.75" customHeight="1">
      <c r="N251" s="30"/>
      <c r="AB251" s="30"/>
      <c r="AP251" s="30"/>
      <c r="BD251" s="30"/>
    </row>
    <row r="252" ht="15.75" customHeight="1">
      <c r="N252" s="30"/>
      <c r="AB252" s="30"/>
      <c r="AP252" s="30"/>
      <c r="BD252" s="30"/>
    </row>
    <row r="253" ht="15.75" customHeight="1">
      <c r="N253" s="30"/>
      <c r="AB253" s="30"/>
      <c r="AP253" s="30"/>
      <c r="BD253" s="30"/>
    </row>
    <row r="254" ht="15.75" customHeight="1">
      <c r="N254" s="30"/>
      <c r="AB254" s="30"/>
      <c r="AP254" s="30"/>
      <c r="BD254" s="30"/>
    </row>
    <row r="255" ht="15.75" customHeight="1">
      <c r="N255" s="30"/>
      <c r="AB255" s="30"/>
      <c r="AP255" s="30"/>
      <c r="BD255" s="30"/>
    </row>
    <row r="256" ht="15.75" customHeight="1">
      <c r="N256" s="30"/>
      <c r="AB256" s="30"/>
      <c r="AP256" s="30"/>
      <c r="BD256" s="30"/>
    </row>
    <row r="257" ht="15.75" customHeight="1">
      <c r="N257" s="30"/>
      <c r="AB257" s="30"/>
      <c r="AP257" s="30"/>
      <c r="BD257" s="30"/>
    </row>
    <row r="258" ht="15.75" customHeight="1">
      <c r="N258" s="30"/>
      <c r="AB258" s="30"/>
      <c r="AP258" s="30"/>
      <c r="BD258" s="30"/>
    </row>
    <row r="259" ht="15.75" customHeight="1">
      <c r="N259" s="30"/>
      <c r="AB259" s="30"/>
      <c r="AP259" s="30"/>
      <c r="BD259" s="30"/>
    </row>
    <row r="260" ht="15.75" customHeight="1">
      <c r="N260" s="30"/>
      <c r="AB260" s="30"/>
      <c r="AP260" s="30"/>
      <c r="BD260" s="30"/>
    </row>
    <row r="261" ht="15.75" customHeight="1">
      <c r="N261" s="30"/>
      <c r="AB261" s="30"/>
      <c r="AP261" s="30"/>
      <c r="BD261" s="30"/>
    </row>
    <row r="262" ht="15.75" customHeight="1">
      <c r="N262" s="30"/>
      <c r="AB262" s="30"/>
      <c r="AP262" s="30"/>
      <c r="BD262" s="30"/>
    </row>
    <row r="263" ht="15.75" customHeight="1">
      <c r="N263" s="30"/>
      <c r="AB263" s="30"/>
      <c r="AP263" s="30"/>
      <c r="BD263" s="30"/>
    </row>
    <row r="264" ht="15.75" customHeight="1">
      <c r="N264" s="30"/>
      <c r="AB264" s="30"/>
      <c r="AP264" s="30"/>
      <c r="BD264" s="30"/>
    </row>
    <row r="265" ht="15.75" customHeight="1">
      <c r="N265" s="30"/>
      <c r="AB265" s="30"/>
      <c r="AP265" s="30"/>
      <c r="BD265" s="30"/>
    </row>
    <row r="266" ht="15.75" customHeight="1">
      <c r="N266" s="30"/>
      <c r="AB266" s="30"/>
      <c r="AP266" s="30"/>
      <c r="BD266" s="30"/>
    </row>
    <row r="267" ht="15.75" customHeight="1">
      <c r="N267" s="30"/>
      <c r="AB267" s="30"/>
      <c r="AP267" s="30"/>
      <c r="BD267" s="30"/>
    </row>
    <row r="268" ht="15.75" customHeight="1">
      <c r="N268" s="30"/>
      <c r="AB268" s="30"/>
      <c r="AP268" s="30"/>
      <c r="BD268" s="30"/>
    </row>
    <row r="269" ht="15.75" customHeight="1">
      <c r="N269" s="30"/>
      <c r="AB269" s="30"/>
      <c r="AP269" s="30"/>
      <c r="BD269" s="30"/>
    </row>
    <row r="270" ht="15.75" customHeight="1">
      <c r="N270" s="30"/>
      <c r="AB270" s="30"/>
      <c r="AP270" s="30"/>
      <c r="BD270" s="30"/>
    </row>
    <row r="271" ht="15.75" customHeight="1">
      <c r="N271" s="30"/>
      <c r="AB271" s="30"/>
      <c r="AP271" s="30"/>
      <c r="BD271" s="30"/>
    </row>
    <row r="272" ht="15.75" customHeight="1">
      <c r="N272" s="30"/>
      <c r="AB272" s="30"/>
      <c r="AP272" s="30"/>
      <c r="BD272" s="30"/>
    </row>
    <row r="273" ht="15.75" customHeight="1">
      <c r="N273" s="30"/>
      <c r="AB273" s="30"/>
      <c r="AP273" s="30"/>
      <c r="BD273" s="30"/>
    </row>
    <row r="274" ht="15.75" customHeight="1">
      <c r="N274" s="30"/>
      <c r="AB274" s="30"/>
      <c r="AP274" s="30"/>
      <c r="BD274" s="30"/>
    </row>
    <row r="275" ht="15.75" customHeight="1">
      <c r="N275" s="30"/>
      <c r="AB275" s="30"/>
      <c r="AP275" s="30"/>
      <c r="BD275" s="30"/>
    </row>
    <row r="276" ht="15.75" customHeight="1">
      <c r="N276" s="30"/>
      <c r="AB276" s="30"/>
      <c r="AP276" s="30"/>
      <c r="BD276" s="30"/>
    </row>
    <row r="277" ht="15.75" customHeight="1">
      <c r="N277" s="30"/>
      <c r="AB277" s="30"/>
      <c r="AP277" s="30"/>
      <c r="BD277" s="30"/>
    </row>
    <row r="278" ht="15.75" customHeight="1">
      <c r="N278" s="30"/>
      <c r="AB278" s="30"/>
      <c r="AP278" s="30"/>
      <c r="BD278" s="30"/>
    </row>
    <row r="279" ht="15.75" customHeight="1">
      <c r="N279" s="30"/>
      <c r="AB279" s="30"/>
      <c r="AP279" s="30"/>
      <c r="BD279" s="30"/>
    </row>
    <row r="280" ht="15.75" customHeight="1">
      <c r="N280" s="30"/>
      <c r="AB280" s="30"/>
      <c r="AP280" s="30"/>
      <c r="BD280" s="30"/>
    </row>
    <row r="281" ht="15.75" customHeight="1">
      <c r="N281" s="30"/>
      <c r="AB281" s="30"/>
      <c r="AP281" s="30"/>
      <c r="BD281" s="30"/>
    </row>
    <row r="282" ht="15.75" customHeight="1">
      <c r="N282" s="30"/>
      <c r="AB282" s="30"/>
      <c r="AP282" s="30"/>
      <c r="BD282" s="30"/>
    </row>
    <row r="283" ht="15.75" customHeight="1">
      <c r="N283" s="30"/>
      <c r="AB283" s="30"/>
      <c r="AP283" s="30"/>
      <c r="BD283" s="30"/>
    </row>
    <row r="284" ht="15.75" customHeight="1">
      <c r="N284" s="30"/>
      <c r="AB284" s="30"/>
      <c r="AP284" s="30"/>
      <c r="BD284" s="30"/>
    </row>
    <row r="285" ht="15.75" customHeight="1">
      <c r="N285" s="30"/>
      <c r="AB285" s="30"/>
      <c r="AP285" s="30"/>
      <c r="BD285" s="30"/>
    </row>
    <row r="286" ht="15.75" customHeight="1">
      <c r="N286" s="30"/>
      <c r="AB286" s="30"/>
      <c r="AP286" s="30"/>
      <c r="BD286" s="30"/>
    </row>
    <row r="287" ht="15.75" customHeight="1">
      <c r="N287" s="30"/>
      <c r="AB287" s="30"/>
      <c r="AP287" s="30"/>
      <c r="BD287" s="30"/>
    </row>
    <row r="288" ht="15.75" customHeight="1">
      <c r="N288" s="30"/>
      <c r="AB288" s="30"/>
      <c r="AP288" s="30"/>
      <c r="BD288" s="30"/>
    </row>
    <row r="289" ht="15.75" customHeight="1">
      <c r="N289" s="30"/>
      <c r="AB289" s="30"/>
      <c r="AP289" s="30"/>
      <c r="BD289" s="30"/>
    </row>
    <row r="290" ht="15.75" customHeight="1">
      <c r="N290" s="30"/>
      <c r="AB290" s="30"/>
      <c r="AP290" s="30"/>
      <c r="BD290" s="30"/>
    </row>
    <row r="291" ht="15.75" customHeight="1">
      <c r="N291" s="30"/>
      <c r="AB291" s="30"/>
      <c r="AP291" s="30"/>
      <c r="BD291" s="30"/>
    </row>
    <row r="292" ht="15.75" customHeight="1">
      <c r="N292" s="30"/>
      <c r="AB292" s="30"/>
      <c r="AP292" s="30"/>
      <c r="BD292" s="30"/>
    </row>
    <row r="293" ht="15.75" customHeight="1">
      <c r="N293" s="30"/>
      <c r="AB293" s="30"/>
      <c r="AP293" s="30"/>
      <c r="BD293" s="30"/>
    </row>
    <row r="294" ht="15.75" customHeight="1">
      <c r="N294" s="30"/>
      <c r="AB294" s="30"/>
      <c r="AP294" s="30"/>
      <c r="BD294" s="30"/>
    </row>
    <row r="295" ht="15.75" customHeight="1">
      <c r="N295" s="30"/>
      <c r="AB295" s="30"/>
      <c r="AP295" s="30"/>
      <c r="BD295" s="30"/>
    </row>
    <row r="296" ht="15.75" customHeight="1">
      <c r="N296" s="30"/>
      <c r="AB296" s="30"/>
      <c r="AP296" s="30"/>
      <c r="BD296" s="30"/>
    </row>
    <row r="297" ht="15.75" customHeight="1">
      <c r="N297" s="30"/>
      <c r="AB297" s="30"/>
      <c r="AP297" s="30"/>
      <c r="BD297" s="30"/>
    </row>
    <row r="298" ht="15.75" customHeight="1">
      <c r="N298" s="30"/>
      <c r="AB298" s="30"/>
      <c r="AP298" s="30"/>
      <c r="BD298" s="30"/>
    </row>
    <row r="299" ht="15.75" customHeight="1">
      <c r="N299" s="30"/>
      <c r="AB299" s="30"/>
      <c r="AP299" s="30"/>
      <c r="BD299" s="30"/>
    </row>
    <row r="300" ht="15.75" customHeight="1">
      <c r="N300" s="30"/>
      <c r="AB300" s="30"/>
      <c r="AP300" s="30"/>
      <c r="BD300" s="30"/>
    </row>
    <row r="301" ht="15.75" customHeight="1">
      <c r="N301" s="30"/>
      <c r="AB301" s="30"/>
      <c r="AP301" s="30"/>
      <c r="BD301" s="30"/>
    </row>
    <row r="302" ht="15.75" customHeight="1">
      <c r="N302" s="30"/>
      <c r="AB302" s="30"/>
      <c r="AP302" s="30"/>
      <c r="BD302" s="30"/>
    </row>
    <row r="303" ht="15.75" customHeight="1">
      <c r="N303" s="30"/>
      <c r="AB303" s="30"/>
      <c r="AP303" s="30"/>
      <c r="BD303" s="30"/>
    </row>
    <row r="304" ht="15.75" customHeight="1">
      <c r="N304" s="30"/>
      <c r="AB304" s="30"/>
      <c r="AP304" s="30"/>
      <c r="BD304" s="30"/>
    </row>
    <row r="305" ht="15.75" customHeight="1">
      <c r="N305" s="30"/>
      <c r="AB305" s="30"/>
      <c r="AP305" s="30"/>
      <c r="BD305" s="30"/>
    </row>
    <row r="306" ht="15.75" customHeight="1">
      <c r="N306" s="30"/>
      <c r="AB306" s="30"/>
      <c r="AP306" s="30"/>
      <c r="BD306" s="30"/>
    </row>
    <row r="307" ht="15.75" customHeight="1">
      <c r="N307" s="30"/>
      <c r="AB307" s="30"/>
      <c r="AP307" s="30"/>
      <c r="BD307" s="30"/>
    </row>
    <row r="308" ht="15.75" customHeight="1">
      <c r="N308" s="30"/>
      <c r="AB308" s="30"/>
      <c r="AP308" s="30"/>
      <c r="BD308" s="30"/>
    </row>
    <row r="309" ht="15.75" customHeight="1">
      <c r="N309" s="30"/>
      <c r="AB309" s="30"/>
      <c r="AP309" s="30"/>
      <c r="BD309" s="30"/>
    </row>
    <row r="310" ht="15.75" customHeight="1">
      <c r="N310" s="30"/>
      <c r="AB310" s="30"/>
      <c r="AP310" s="30"/>
      <c r="BD310" s="30"/>
    </row>
    <row r="311" ht="15.75" customHeight="1">
      <c r="N311" s="30"/>
      <c r="AB311" s="30"/>
      <c r="AP311" s="30"/>
      <c r="BD311" s="30"/>
    </row>
    <row r="312" ht="15.75" customHeight="1">
      <c r="N312" s="30"/>
      <c r="AB312" s="30"/>
      <c r="AP312" s="30"/>
      <c r="BD312" s="30"/>
    </row>
    <row r="313" ht="15.75" customHeight="1">
      <c r="N313" s="30"/>
      <c r="AB313" s="30"/>
      <c r="AP313" s="30"/>
      <c r="BD313" s="30"/>
    </row>
    <row r="314" ht="15.75" customHeight="1">
      <c r="N314" s="30"/>
      <c r="AB314" s="30"/>
      <c r="AP314" s="30"/>
      <c r="BD314" s="30"/>
    </row>
    <row r="315" ht="15.75" customHeight="1">
      <c r="N315" s="30"/>
      <c r="AB315" s="30"/>
      <c r="AP315" s="30"/>
      <c r="BD315" s="30"/>
    </row>
    <row r="316" ht="15.75" customHeight="1">
      <c r="N316" s="30"/>
      <c r="AB316" s="30"/>
      <c r="AP316" s="30"/>
      <c r="BD316" s="30"/>
    </row>
    <row r="317" ht="15.75" customHeight="1">
      <c r="N317" s="30"/>
      <c r="AB317" s="30"/>
      <c r="AP317" s="30"/>
      <c r="BD317" s="30"/>
    </row>
    <row r="318" ht="15.75" customHeight="1">
      <c r="N318" s="30"/>
      <c r="AB318" s="30"/>
      <c r="AP318" s="30"/>
      <c r="BD318" s="30"/>
    </row>
    <row r="319" ht="15.75" customHeight="1">
      <c r="N319" s="30"/>
      <c r="AB319" s="30"/>
      <c r="AP319" s="30"/>
      <c r="BD319" s="30"/>
    </row>
    <row r="320" ht="15.75" customHeight="1">
      <c r="N320" s="30"/>
      <c r="AB320" s="30"/>
      <c r="AP320" s="30"/>
      <c r="BD320" s="30"/>
    </row>
    <row r="321" ht="15.75" customHeight="1">
      <c r="N321" s="30"/>
      <c r="AB321" s="30"/>
      <c r="AP321" s="30"/>
      <c r="BD321" s="30"/>
    </row>
    <row r="322" ht="15.75" customHeight="1">
      <c r="N322" s="30"/>
      <c r="AB322" s="30"/>
      <c r="AP322" s="30"/>
      <c r="BD322" s="30"/>
    </row>
    <row r="323" ht="15.75" customHeight="1">
      <c r="N323" s="30"/>
      <c r="AB323" s="30"/>
      <c r="AP323" s="30"/>
      <c r="BD323" s="30"/>
    </row>
    <row r="324" ht="15.75" customHeight="1">
      <c r="N324" s="30"/>
      <c r="AB324" s="30"/>
      <c r="AP324" s="30"/>
      <c r="BD324" s="30"/>
    </row>
    <row r="325" ht="15.75" customHeight="1">
      <c r="N325" s="30"/>
      <c r="AB325" s="30"/>
      <c r="AP325" s="30"/>
      <c r="BD325" s="30"/>
    </row>
    <row r="326" ht="15.75" customHeight="1">
      <c r="N326" s="30"/>
      <c r="AB326" s="30"/>
      <c r="AP326" s="30"/>
      <c r="BD326" s="30"/>
    </row>
    <row r="327" ht="15.75" customHeight="1">
      <c r="N327" s="30"/>
      <c r="AB327" s="30"/>
      <c r="AP327" s="30"/>
      <c r="BD327" s="30"/>
    </row>
    <row r="328" ht="15.75" customHeight="1">
      <c r="N328" s="30"/>
      <c r="AB328" s="30"/>
      <c r="AP328" s="30"/>
      <c r="BD328" s="30"/>
    </row>
    <row r="329" ht="15.75" customHeight="1">
      <c r="N329" s="30"/>
      <c r="AB329" s="30"/>
      <c r="AP329" s="30"/>
      <c r="BD329" s="30"/>
    </row>
    <row r="330" ht="15.75" customHeight="1">
      <c r="N330" s="30"/>
      <c r="AB330" s="30"/>
      <c r="AP330" s="30"/>
      <c r="BD330" s="30"/>
    </row>
    <row r="331" ht="15.75" customHeight="1">
      <c r="N331" s="30"/>
      <c r="AB331" s="30"/>
      <c r="AP331" s="30"/>
      <c r="BD331" s="30"/>
    </row>
    <row r="332" ht="15.75" customHeight="1">
      <c r="N332" s="30"/>
      <c r="AB332" s="30"/>
      <c r="AP332" s="30"/>
      <c r="BD332" s="30"/>
    </row>
    <row r="333" ht="15.75" customHeight="1">
      <c r="N333" s="30"/>
      <c r="AB333" s="30"/>
      <c r="AP333" s="30"/>
      <c r="BD333" s="30"/>
    </row>
    <row r="334" ht="15.75" customHeight="1">
      <c r="N334" s="30"/>
      <c r="AB334" s="30"/>
      <c r="AP334" s="30"/>
      <c r="BD334" s="30"/>
    </row>
    <row r="335" ht="15.75" customHeight="1">
      <c r="N335" s="30"/>
      <c r="AB335" s="30"/>
      <c r="AP335" s="30"/>
      <c r="BD335" s="30"/>
    </row>
    <row r="336" ht="15.75" customHeight="1">
      <c r="N336" s="30"/>
      <c r="AB336" s="30"/>
      <c r="AP336" s="30"/>
      <c r="BD336" s="30"/>
    </row>
    <row r="337" ht="15.75" customHeight="1">
      <c r="N337" s="30"/>
      <c r="AB337" s="30"/>
      <c r="AP337" s="30"/>
      <c r="BD337" s="30"/>
    </row>
    <row r="338" ht="15.75" customHeight="1">
      <c r="N338" s="30"/>
      <c r="AB338" s="30"/>
      <c r="AP338" s="30"/>
      <c r="BD338" s="30"/>
    </row>
    <row r="339" ht="15.75" customHeight="1">
      <c r="N339" s="30"/>
      <c r="AB339" s="30"/>
      <c r="AP339" s="30"/>
      <c r="BD339" s="30"/>
    </row>
    <row r="340" ht="15.75" customHeight="1">
      <c r="N340" s="30"/>
      <c r="AB340" s="30"/>
      <c r="AP340" s="30"/>
      <c r="BD340" s="30"/>
    </row>
    <row r="341" ht="15.75" customHeight="1">
      <c r="N341" s="30"/>
      <c r="AB341" s="30"/>
      <c r="AP341" s="30"/>
      <c r="BD341" s="30"/>
    </row>
    <row r="342" ht="15.75" customHeight="1">
      <c r="N342" s="30"/>
      <c r="AB342" s="30"/>
      <c r="AP342" s="30"/>
      <c r="BD342" s="30"/>
    </row>
    <row r="343" ht="15.75" customHeight="1">
      <c r="N343" s="30"/>
      <c r="AB343" s="30"/>
      <c r="AP343" s="30"/>
      <c r="BD343" s="30"/>
    </row>
    <row r="344" ht="15.75" customHeight="1">
      <c r="N344" s="30"/>
      <c r="AB344" s="30"/>
      <c r="AP344" s="30"/>
      <c r="BD344" s="30"/>
    </row>
    <row r="345" ht="15.75" customHeight="1">
      <c r="N345" s="30"/>
      <c r="AB345" s="30"/>
      <c r="AP345" s="30"/>
      <c r="BD345" s="30"/>
    </row>
    <row r="346" ht="15.75" customHeight="1">
      <c r="N346" s="30"/>
      <c r="AB346" s="30"/>
      <c r="AP346" s="30"/>
      <c r="BD346" s="30"/>
    </row>
    <row r="347" ht="15.75" customHeight="1">
      <c r="N347" s="30"/>
      <c r="AB347" s="30"/>
      <c r="AP347" s="30"/>
      <c r="BD347" s="30"/>
    </row>
    <row r="348" ht="15.75" customHeight="1">
      <c r="N348" s="30"/>
      <c r="AB348" s="30"/>
      <c r="AP348" s="30"/>
      <c r="BD348" s="30"/>
    </row>
    <row r="349" ht="15.75" customHeight="1">
      <c r="N349" s="30"/>
      <c r="AB349" s="30"/>
      <c r="AP349" s="30"/>
      <c r="BD349" s="30"/>
    </row>
    <row r="350" ht="15.75" customHeight="1">
      <c r="N350" s="30"/>
      <c r="AB350" s="30"/>
      <c r="AP350" s="30"/>
      <c r="BD350" s="30"/>
    </row>
    <row r="351" ht="15.75" customHeight="1">
      <c r="N351" s="30"/>
      <c r="AB351" s="30"/>
      <c r="AP351" s="30"/>
      <c r="BD351" s="30"/>
    </row>
    <row r="352" ht="15.75" customHeight="1">
      <c r="N352" s="30"/>
      <c r="AB352" s="30"/>
      <c r="AP352" s="30"/>
      <c r="BD352" s="30"/>
    </row>
    <row r="353" ht="15.75" customHeight="1">
      <c r="N353" s="30"/>
      <c r="AB353" s="30"/>
      <c r="AP353" s="30"/>
      <c r="BD353" s="30"/>
    </row>
    <row r="354" ht="15.75" customHeight="1">
      <c r="N354" s="30"/>
      <c r="AB354" s="30"/>
      <c r="AP354" s="30"/>
      <c r="BD354" s="30"/>
    </row>
    <row r="355" ht="15.75" customHeight="1">
      <c r="N355" s="30"/>
      <c r="AB355" s="30"/>
      <c r="AP355" s="30"/>
      <c r="BD355" s="30"/>
    </row>
    <row r="356" ht="15.75" customHeight="1">
      <c r="N356" s="30"/>
      <c r="AB356" s="30"/>
      <c r="AP356" s="30"/>
      <c r="BD356" s="30"/>
    </row>
    <row r="357" ht="15.75" customHeight="1">
      <c r="N357" s="30"/>
      <c r="AB357" s="30"/>
      <c r="AP357" s="30"/>
      <c r="BD357" s="30"/>
    </row>
    <row r="358" ht="15.75" customHeight="1">
      <c r="N358" s="30"/>
      <c r="AB358" s="30"/>
      <c r="AP358" s="30"/>
      <c r="BD358" s="30"/>
    </row>
    <row r="359" ht="15.75" customHeight="1">
      <c r="N359" s="30"/>
      <c r="AB359" s="30"/>
      <c r="AP359" s="30"/>
      <c r="BD359" s="30"/>
    </row>
    <row r="360" ht="15.75" customHeight="1">
      <c r="N360" s="30"/>
      <c r="AB360" s="30"/>
      <c r="AP360" s="30"/>
      <c r="BD360" s="30"/>
    </row>
    <row r="361" ht="15.75" customHeight="1">
      <c r="N361" s="30"/>
      <c r="AB361" s="30"/>
      <c r="AP361" s="30"/>
      <c r="BD361" s="30"/>
    </row>
    <row r="362" ht="15.75" customHeight="1">
      <c r="N362" s="30"/>
      <c r="AB362" s="30"/>
      <c r="AP362" s="30"/>
      <c r="BD362" s="30"/>
    </row>
    <row r="363" ht="15.75" customHeight="1">
      <c r="N363" s="30"/>
      <c r="AB363" s="30"/>
      <c r="AP363" s="30"/>
      <c r="BD363" s="30"/>
    </row>
    <row r="364" ht="15.75" customHeight="1">
      <c r="N364" s="30"/>
      <c r="AB364" s="30"/>
      <c r="AP364" s="30"/>
      <c r="BD364" s="30"/>
    </row>
    <row r="365" ht="15.75" customHeight="1">
      <c r="N365" s="30"/>
      <c r="AB365" s="30"/>
      <c r="AP365" s="30"/>
      <c r="BD365" s="30"/>
    </row>
    <row r="366" ht="15.75" customHeight="1">
      <c r="N366" s="30"/>
      <c r="AB366" s="30"/>
      <c r="AP366" s="30"/>
      <c r="BD366" s="30"/>
    </row>
    <row r="367" ht="15.75" customHeight="1">
      <c r="N367" s="30"/>
      <c r="AB367" s="30"/>
      <c r="AP367" s="30"/>
      <c r="BD367" s="30"/>
    </row>
    <row r="368" ht="15.75" customHeight="1">
      <c r="N368" s="30"/>
      <c r="AB368" s="30"/>
      <c r="AP368" s="30"/>
      <c r="BD368" s="30"/>
    </row>
    <row r="369" ht="15.75" customHeight="1">
      <c r="N369" s="30"/>
      <c r="AB369" s="30"/>
      <c r="AP369" s="30"/>
      <c r="BD369" s="30"/>
    </row>
    <row r="370" ht="15.75" customHeight="1">
      <c r="N370" s="30"/>
      <c r="AB370" s="30"/>
      <c r="AP370" s="30"/>
      <c r="BD370" s="30"/>
    </row>
    <row r="371" ht="15.75" customHeight="1">
      <c r="N371" s="30"/>
      <c r="AB371" s="30"/>
      <c r="AP371" s="30"/>
      <c r="BD371" s="30"/>
    </row>
    <row r="372" ht="15.75" customHeight="1">
      <c r="N372" s="30"/>
      <c r="AB372" s="30"/>
      <c r="AP372" s="30"/>
      <c r="BD372" s="30"/>
    </row>
    <row r="373" ht="15.75" customHeight="1">
      <c r="N373" s="30"/>
      <c r="AB373" s="30"/>
      <c r="AP373" s="30"/>
      <c r="BD373" s="30"/>
    </row>
    <row r="374" ht="15.75" customHeight="1">
      <c r="N374" s="30"/>
      <c r="AB374" s="30"/>
      <c r="AP374" s="30"/>
      <c r="BD374" s="30"/>
    </row>
    <row r="375" ht="15.75" customHeight="1">
      <c r="N375" s="30"/>
      <c r="AB375" s="30"/>
      <c r="AP375" s="30"/>
      <c r="BD375" s="30"/>
    </row>
    <row r="376" ht="15.75" customHeight="1">
      <c r="N376" s="30"/>
      <c r="AB376" s="30"/>
      <c r="AP376" s="30"/>
      <c r="BD376" s="30"/>
    </row>
    <row r="377" ht="15.75" customHeight="1">
      <c r="N377" s="30"/>
      <c r="AB377" s="30"/>
      <c r="AP377" s="30"/>
      <c r="BD377" s="30"/>
    </row>
    <row r="378" ht="15.75" customHeight="1">
      <c r="N378" s="30"/>
      <c r="AB378" s="30"/>
      <c r="AP378" s="30"/>
      <c r="BD378" s="30"/>
    </row>
    <row r="379" ht="15.75" customHeight="1">
      <c r="N379" s="30"/>
      <c r="AB379" s="30"/>
      <c r="AP379" s="30"/>
      <c r="BD379" s="30"/>
    </row>
    <row r="380" ht="15.75" customHeight="1">
      <c r="N380" s="30"/>
      <c r="AB380" s="30"/>
      <c r="AP380" s="30"/>
      <c r="BD380" s="30"/>
    </row>
    <row r="381" ht="15.75" customHeight="1">
      <c r="N381" s="30"/>
      <c r="AB381" s="30"/>
      <c r="AP381" s="30"/>
      <c r="BD381" s="30"/>
    </row>
    <row r="382" ht="15.75" customHeight="1">
      <c r="N382" s="30"/>
      <c r="AB382" s="30"/>
      <c r="AP382" s="30"/>
      <c r="BD382" s="30"/>
    </row>
    <row r="383" ht="15.75" customHeight="1">
      <c r="N383" s="30"/>
      <c r="AB383" s="30"/>
      <c r="AP383" s="30"/>
      <c r="BD383" s="30"/>
    </row>
    <row r="384" ht="15.75" customHeight="1">
      <c r="N384" s="30"/>
      <c r="AB384" s="30"/>
      <c r="AP384" s="30"/>
      <c r="BD384" s="30"/>
    </row>
    <row r="385" ht="15.75" customHeight="1">
      <c r="N385" s="30"/>
      <c r="AB385" s="30"/>
      <c r="AP385" s="30"/>
      <c r="BD385" s="30"/>
    </row>
    <row r="386" ht="15.75" customHeight="1">
      <c r="N386" s="30"/>
      <c r="AB386" s="30"/>
      <c r="AP386" s="30"/>
      <c r="BD386" s="30"/>
    </row>
    <row r="387" ht="15.75" customHeight="1">
      <c r="N387" s="30"/>
      <c r="AB387" s="30"/>
      <c r="AP387" s="30"/>
      <c r="BD387" s="30"/>
    </row>
    <row r="388" ht="15.75" customHeight="1">
      <c r="N388" s="30"/>
      <c r="AB388" s="30"/>
      <c r="AP388" s="30"/>
      <c r="BD388" s="30"/>
    </row>
    <row r="389" ht="15.75" customHeight="1">
      <c r="N389" s="30"/>
      <c r="AB389" s="30"/>
      <c r="AP389" s="30"/>
      <c r="BD389" s="30"/>
    </row>
    <row r="390" ht="15.75" customHeight="1">
      <c r="N390" s="30"/>
      <c r="AB390" s="30"/>
      <c r="AP390" s="30"/>
      <c r="BD390" s="30"/>
    </row>
    <row r="391" ht="15.75" customHeight="1">
      <c r="N391" s="30"/>
      <c r="AB391" s="30"/>
      <c r="AP391" s="30"/>
      <c r="BD391" s="30"/>
    </row>
    <row r="392" ht="15.75" customHeight="1">
      <c r="N392" s="30"/>
      <c r="AB392" s="30"/>
      <c r="AP392" s="30"/>
      <c r="BD392" s="30"/>
    </row>
    <row r="393" ht="15.75" customHeight="1">
      <c r="N393" s="30"/>
      <c r="AB393" s="30"/>
      <c r="AP393" s="30"/>
      <c r="BD393" s="30"/>
    </row>
    <row r="394" ht="15.75" customHeight="1">
      <c r="N394" s="30"/>
      <c r="AB394" s="30"/>
      <c r="AP394" s="30"/>
      <c r="BD394" s="30"/>
    </row>
    <row r="395" ht="15.75" customHeight="1">
      <c r="N395" s="30"/>
      <c r="AB395" s="30"/>
      <c r="AP395" s="30"/>
      <c r="BD395" s="30"/>
    </row>
    <row r="396" ht="15.75" customHeight="1">
      <c r="N396" s="30"/>
      <c r="AB396" s="30"/>
      <c r="AP396" s="30"/>
      <c r="BD396" s="30"/>
    </row>
    <row r="397" ht="15.75" customHeight="1">
      <c r="N397" s="30"/>
      <c r="AB397" s="30"/>
      <c r="AP397" s="30"/>
      <c r="BD397" s="30"/>
    </row>
    <row r="398" ht="15.75" customHeight="1">
      <c r="N398" s="30"/>
      <c r="AB398" s="30"/>
      <c r="AP398" s="30"/>
      <c r="BD398" s="30"/>
    </row>
    <row r="399" ht="15.75" customHeight="1">
      <c r="N399" s="30"/>
      <c r="AB399" s="30"/>
      <c r="AP399" s="30"/>
      <c r="BD399" s="30"/>
    </row>
    <row r="400" ht="15.75" customHeight="1">
      <c r="N400" s="30"/>
      <c r="AB400" s="30"/>
      <c r="AP400" s="30"/>
      <c r="BD400" s="30"/>
    </row>
    <row r="401" ht="15.75" customHeight="1">
      <c r="N401" s="30"/>
      <c r="AB401" s="30"/>
      <c r="AP401" s="30"/>
      <c r="BD401" s="30"/>
    </row>
    <row r="402" ht="15.75" customHeight="1">
      <c r="N402" s="30"/>
      <c r="AB402" s="30"/>
      <c r="AP402" s="30"/>
      <c r="BD402" s="30"/>
    </row>
    <row r="403" ht="15.75" customHeight="1">
      <c r="N403" s="30"/>
      <c r="AB403" s="30"/>
      <c r="AP403" s="30"/>
      <c r="BD403" s="30"/>
    </row>
    <row r="404" ht="15.75" customHeight="1">
      <c r="N404" s="30"/>
      <c r="AB404" s="30"/>
      <c r="AP404" s="30"/>
      <c r="BD404" s="30"/>
    </row>
    <row r="405" ht="15.75" customHeight="1">
      <c r="N405" s="30"/>
      <c r="AB405" s="30"/>
      <c r="AP405" s="30"/>
      <c r="BD405" s="30"/>
    </row>
    <row r="406" ht="15.75" customHeight="1">
      <c r="N406" s="30"/>
      <c r="AB406" s="30"/>
      <c r="AP406" s="30"/>
      <c r="BD406" s="30"/>
    </row>
    <row r="407" ht="15.75" customHeight="1">
      <c r="N407" s="30"/>
      <c r="AB407" s="30"/>
      <c r="AP407" s="30"/>
      <c r="BD407" s="30"/>
    </row>
    <row r="408" ht="15.75" customHeight="1">
      <c r="N408" s="30"/>
      <c r="AB408" s="30"/>
      <c r="AP408" s="30"/>
      <c r="BD408" s="30"/>
    </row>
    <row r="409" ht="15.75" customHeight="1">
      <c r="N409" s="30"/>
      <c r="AB409" s="30"/>
      <c r="AP409" s="30"/>
      <c r="BD409" s="30"/>
    </row>
    <row r="410" ht="15.75" customHeight="1">
      <c r="N410" s="30"/>
      <c r="AB410" s="30"/>
      <c r="AP410" s="30"/>
      <c r="BD410" s="30"/>
    </row>
    <row r="411" ht="15.75" customHeight="1">
      <c r="N411" s="30"/>
      <c r="AB411" s="30"/>
      <c r="AP411" s="30"/>
      <c r="BD411" s="30"/>
    </row>
    <row r="412" ht="15.75" customHeight="1">
      <c r="N412" s="30"/>
      <c r="AB412" s="30"/>
      <c r="AP412" s="30"/>
      <c r="BD412" s="30"/>
    </row>
    <row r="413" ht="15.75" customHeight="1">
      <c r="N413" s="30"/>
      <c r="AB413" s="30"/>
      <c r="AP413" s="30"/>
      <c r="BD413" s="30"/>
    </row>
    <row r="414" ht="15.75" customHeight="1">
      <c r="N414" s="30"/>
      <c r="AB414" s="30"/>
      <c r="AP414" s="30"/>
      <c r="BD414" s="30"/>
    </row>
    <row r="415" ht="15.75" customHeight="1">
      <c r="N415" s="30"/>
      <c r="AB415" s="30"/>
      <c r="AP415" s="30"/>
      <c r="BD415" s="30"/>
    </row>
    <row r="416" ht="15.75" customHeight="1">
      <c r="N416" s="30"/>
      <c r="AB416" s="30"/>
      <c r="AP416" s="30"/>
      <c r="BD416" s="30"/>
    </row>
    <row r="417" ht="15.75" customHeight="1">
      <c r="N417" s="30"/>
      <c r="AB417" s="30"/>
      <c r="AP417" s="30"/>
      <c r="BD417" s="30"/>
    </row>
    <row r="418" ht="15.75" customHeight="1">
      <c r="N418" s="30"/>
      <c r="AB418" s="30"/>
      <c r="AP418" s="30"/>
      <c r="BD418" s="30"/>
    </row>
    <row r="419" ht="15.75" customHeight="1">
      <c r="N419" s="30"/>
      <c r="AB419" s="30"/>
      <c r="AP419" s="30"/>
      <c r="BD419" s="30"/>
    </row>
    <row r="420" ht="15.75" customHeight="1">
      <c r="N420" s="30"/>
      <c r="AB420" s="30"/>
      <c r="AP420" s="30"/>
      <c r="BD420" s="30"/>
    </row>
    <row r="421" ht="15.75" customHeight="1">
      <c r="N421" s="30"/>
      <c r="AB421" s="30"/>
      <c r="AP421" s="30"/>
      <c r="BD421" s="30"/>
    </row>
    <row r="422" ht="15.75" customHeight="1">
      <c r="N422" s="30"/>
      <c r="AB422" s="30"/>
      <c r="AP422" s="30"/>
      <c r="BD422" s="30"/>
    </row>
    <row r="423" ht="15.75" customHeight="1">
      <c r="N423" s="30"/>
      <c r="AB423" s="30"/>
      <c r="AP423" s="30"/>
      <c r="BD423" s="30"/>
    </row>
    <row r="424" ht="15.75" customHeight="1">
      <c r="N424" s="30"/>
      <c r="AB424" s="30"/>
      <c r="AP424" s="30"/>
      <c r="BD424" s="30"/>
    </row>
    <row r="425" ht="15.75" customHeight="1">
      <c r="N425" s="30"/>
      <c r="AB425" s="30"/>
      <c r="AP425" s="30"/>
      <c r="BD425" s="30"/>
    </row>
    <row r="426" ht="15.75" customHeight="1">
      <c r="N426" s="30"/>
      <c r="AB426" s="30"/>
      <c r="AP426" s="30"/>
      <c r="BD426" s="30"/>
    </row>
    <row r="427" ht="15.75" customHeight="1">
      <c r="N427" s="30"/>
      <c r="AB427" s="30"/>
      <c r="AP427" s="30"/>
      <c r="BD427" s="30"/>
    </row>
    <row r="428" ht="15.75" customHeight="1">
      <c r="N428" s="30"/>
      <c r="AB428" s="30"/>
      <c r="AP428" s="30"/>
      <c r="BD428" s="30"/>
    </row>
    <row r="429" ht="15.75" customHeight="1">
      <c r="N429" s="30"/>
      <c r="AB429" s="30"/>
      <c r="AP429" s="30"/>
      <c r="BD429" s="30"/>
    </row>
    <row r="430" ht="15.75" customHeight="1">
      <c r="N430" s="30"/>
      <c r="AB430" s="30"/>
      <c r="AP430" s="30"/>
      <c r="BD430" s="30"/>
    </row>
    <row r="431" ht="15.75" customHeight="1">
      <c r="N431" s="30"/>
      <c r="AB431" s="30"/>
      <c r="AP431" s="30"/>
      <c r="BD431" s="30"/>
    </row>
    <row r="432" ht="15.75" customHeight="1">
      <c r="N432" s="30"/>
      <c r="AB432" s="30"/>
      <c r="AP432" s="30"/>
      <c r="BD432" s="30"/>
    </row>
    <row r="433" ht="15.75" customHeight="1">
      <c r="N433" s="30"/>
      <c r="AB433" s="30"/>
      <c r="AP433" s="30"/>
      <c r="BD433" s="30"/>
    </row>
    <row r="434" ht="15.75" customHeight="1">
      <c r="N434" s="30"/>
      <c r="AB434" s="30"/>
      <c r="AP434" s="30"/>
      <c r="BD434" s="30"/>
    </row>
    <row r="435" ht="15.75" customHeight="1">
      <c r="N435" s="30"/>
      <c r="AB435" s="30"/>
      <c r="AP435" s="30"/>
      <c r="BD435" s="30"/>
    </row>
    <row r="436" ht="15.75" customHeight="1">
      <c r="N436" s="30"/>
      <c r="AB436" s="30"/>
      <c r="AP436" s="30"/>
      <c r="BD436" s="30"/>
    </row>
    <row r="437" ht="15.75" customHeight="1">
      <c r="N437" s="30"/>
      <c r="AB437" s="30"/>
      <c r="AP437" s="30"/>
      <c r="BD437" s="30"/>
    </row>
    <row r="438" ht="15.75" customHeight="1">
      <c r="N438" s="30"/>
      <c r="AB438" s="30"/>
      <c r="AP438" s="30"/>
      <c r="BD438" s="30"/>
    </row>
    <row r="439" ht="15.75" customHeight="1">
      <c r="N439" s="30"/>
      <c r="AB439" s="30"/>
      <c r="AP439" s="30"/>
      <c r="BD439" s="30"/>
    </row>
    <row r="440" ht="15.75" customHeight="1">
      <c r="N440" s="30"/>
      <c r="AB440" s="30"/>
      <c r="AP440" s="30"/>
      <c r="BD440" s="30"/>
    </row>
    <row r="441" ht="15.75" customHeight="1">
      <c r="N441" s="30"/>
      <c r="AB441" s="30"/>
      <c r="AP441" s="30"/>
      <c r="BD441" s="30"/>
    </row>
    <row r="442" ht="15.75" customHeight="1">
      <c r="N442" s="30"/>
      <c r="AB442" s="30"/>
      <c r="AP442" s="30"/>
      <c r="BD442" s="30"/>
    </row>
    <row r="443" ht="15.75" customHeight="1">
      <c r="N443" s="30"/>
      <c r="AB443" s="30"/>
      <c r="AP443" s="30"/>
      <c r="BD443" s="30"/>
    </row>
    <row r="444" ht="15.75" customHeight="1">
      <c r="N444" s="30"/>
      <c r="AB444" s="30"/>
      <c r="AP444" s="30"/>
      <c r="BD444" s="30"/>
    </row>
    <row r="445" ht="15.75" customHeight="1">
      <c r="N445" s="30"/>
      <c r="AB445" s="30"/>
      <c r="AP445" s="30"/>
      <c r="BD445" s="30"/>
    </row>
    <row r="446" ht="15.75" customHeight="1">
      <c r="N446" s="30"/>
      <c r="AB446" s="30"/>
      <c r="AP446" s="30"/>
      <c r="BD446" s="30"/>
    </row>
    <row r="447" ht="15.75" customHeight="1">
      <c r="N447" s="30"/>
      <c r="AB447" s="30"/>
      <c r="AP447" s="30"/>
      <c r="BD447" s="30"/>
    </row>
    <row r="448" ht="15.75" customHeight="1">
      <c r="N448" s="30"/>
      <c r="AB448" s="30"/>
      <c r="AP448" s="30"/>
      <c r="BD448" s="30"/>
    </row>
    <row r="449" ht="15.75" customHeight="1">
      <c r="N449" s="30"/>
      <c r="AB449" s="30"/>
      <c r="AP449" s="30"/>
      <c r="BD449" s="30"/>
    </row>
    <row r="450" ht="15.75" customHeight="1">
      <c r="N450" s="30"/>
      <c r="AB450" s="30"/>
      <c r="AP450" s="30"/>
      <c r="BD450" s="30"/>
    </row>
    <row r="451" ht="15.75" customHeight="1">
      <c r="N451" s="30"/>
      <c r="AB451" s="30"/>
      <c r="AP451" s="30"/>
      <c r="BD451" s="30"/>
    </row>
    <row r="452" ht="15.75" customHeight="1">
      <c r="N452" s="30"/>
      <c r="AB452" s="30"/>
      <c r="AP452" s="30"/>
      <c r="BD452" s="30"/>
    </row>
    <row r="453" ht="15.75" customHeight="1">
      <c r="N453" s="30"/>
      <c r="AB453" s="30"/>
      <c r="AP453" s="30"/>
      <c r="BD453" s="30"/>
    </row>
    <row r="454" ht="15.75" customHeight="1">
      <c r="N454" s="30"/>
      <c r="AB454" s="30"/>
      <c r="AP454" s="30"/>
      <c r="BD454" s="30"/>
    </row>
    <row r="455" ht="15.75" customHeight="1">
      <c r="N455" s="30"/>
      <c r="AB455" s="30"/>
      <c r="AP455" s="30"/>
      <c r="BD455" s="30"/>
    </row>
    <row r="456" ht="15.75" customHeight="1">
      <c r="N456" s="30"/>
      <c r="AB456" s="30"/>
      <c r="AP456" s="30"/>
      <c r="BD456" s="30"/>
    </row>
    <row r="457" ht="15.75" customHeight="1">
      <c r="N457" s="30"/>
      <c r="AB457" s="30"/>
      <c r="AP457" s="30"/>
      <c r="BD457" s="30"/>
    </row>
    <row r="458" ht="15.75" customHeight="1">
      <c r="N458" s="30"/>
      <c r="AB458" s="30"/>
      <c r="AP458" s="30"/>
      <c r="BD458" s="30"/>
    </row>
    <row r="459" ht="15.75" customHeight="1">
      <c r="N459" s="30"/>
      <c r="AB459" s="30"/>
      <c r="AP459" s="30"/>
      <c r="BD459" s="30"/>
    </row>
    <row r="460" ht="15.75" customHeight="1">
      <c r="N460" s="30"/>
      <c r="AB460" s="30"/>
      <c r="AP460" s="30"/>
      <c r="BD460" s="30"/>
    </row>
    <row r="461" ht="15.75" customHeight="1">
      <c r="N461" s="30"/>
      <c r="AB461" s="30"/>
      <c r="AP461" s="30"/>
      <c r="BD461" s="30"/>
    </row>
    <row r="462" ht="15.75" customHeight="1">
      <c r="N462" s="30"/>
      <c r="AB462" s="30"/>
      <c r="AP462" s="30"/>
      <c r="BD462" s="30"/>
    </row>
    <row r="463" ht="15.75" customHeight="1">
      <c r="N463" s="30"/>
      <c r="AB463" s="30"/>
      <c r="AP463" s="30"/>
      <c r="BD463" s="30"/>
    </row>
    <row r="464" ht="15.75" customHeight="1">
      <c r="N464" s="30"/>
      <c r="AB464" s="30"/>
      <c r="AP464" s="30"/>
      <c r="BD464" s="30"/>
    </row>
    <row r="465" ht="15.75" customHeight="1">
      <c r="N465" s="30"/>
      <c r="AB465" s="30"/>
      <c r="AP465" s="30"/>
      <c r="BD465" s="30"/>
    </row>
    <row r="466" ht="15.75" customHeight="1">
      <c r="N466" s="30"/>
      <c r="AB466" s="30"/>
      <c r="AP466" s="30"/>
      <c r="BD466" s="30"/>
    </row>
    <row r="467" ht="15.75" customHeight="1">
      <c r="N467" s="30"/>
      <c r="AB467" s="30"/>
      <c r="AP467" s="30"/>
      <c r="BD467" s="30"/>
    </row>
    <row r="468" ht="15.75" customHeight="1">
      <c r="N468" s="30"/>
      <c r="AB468" s="30"/>
      <c r="AP468" s="30"/>
      <c r="BD468" s="30"/>
    </row>
    <row r="469" ht="15.75" customHeight="1">
      <c r="N469" s="30"/>
      <c r="AB469" s="30"/>
      <c r="AP469" s="30"/>
      <c r="BD469" s="30"/>
    </row>
    <row r="470" ht="15.75" customHeight="1">
      <c r="N470" s="30"/>
      <c r="AB470" s="30"/>
      <c r="AP470" s="30"/>
      <c r="BD470" s="30"/>
    </row>
    <row r="471" ht="15.75" customHeight="1">
      <c r="N471" s="30"/>
      <c r="AB471" s="30"/>
      <c r="AP471" s="30"/>
      <c r="BD471" s="30"/>
    </row>
    <row r="472" ht="15.75" customHeight="1">
      <c r="N472" s="30"/>
      <c r="AB472" s="30"/>
      <c r="AP472" s="30"/>
      <c r="BD472" s="30"/>
    </row>
    <row r="473" ht="15.75" customHeight="1">
      <c r="N473" s="30"/>
      <c r="AB473" s="30"/>
      <c r="AP473" s="30"/>
      <c r="BD473" s="30"/>
    </row>
    <row r="474" ht="15.75" customHeight="1">
      <c r="N474" s="30"/>
      <c r="AB474" s="30"/>
      <c r="AP474" s="30"/>
      <c r="BD474" s="30"/>
    </row>
    <row r="475" ht="15.75" customHeight="1">
      <c r="N475" s="30"/>
      <c r="AB475" s="30"/>
      <c r="AP475" s="30"/>
      <c r="BD475" s="30"/>
    </row>
    <row r="476" ht="15.75" customHeight="1">
      <c r="N476" s="30"/>
      <c r="AB476" s="30"/>
      <c r="AP476" s="30"/>
      <c r="BD476" s="30"/>
    </row>
    <row r="477" ht="15.75" customHeight="1">
      <c r="N477" s="30"/>
      <c r="AB477" s="30"/>
      <c r="AP477" s="30"/>
      <c r="BD477" s="30"/>
    </row>
    <row r="478" ht="15.75" customHeight="1">
      <c r="N478" s="30"/>
      <c r="AB478" s="30"/>
      <c r="AP478" s="30"/>
      <c r="BD478" s="30"/>
    </row>
    <row r="479" ht="15.75" customHeight="1">
      <c r="N479" s="30"/>
      <c r="AB479" s="30"/>
      <c r="AP479" s="30"/>
      <c r="BD479" s="30"/>
    </row>
    <row r="480" ht="15.75" customHeight="1">
      <c r="N480" s="30"/>
      <c r="AB480" s="30"/>
      <c r="AP480" s="30"/>
      <c r="BD480" s="30"/>
    </row>
    <row r="481" ht="15.75" customHeight="1">
      <c r="N481" s="30"/>
      <c r="AB481" s="30"/>
      <c r="AP481" s="30"/>
      <c r="BD481" s="30"/>
    </row>
    <row r="482" ht="15.75" customHeight="1">
      <c r="N482" s="30"/>
      <c r="AB482" s="30"/>
      <c r="AP482" s="30"/>
      <c r="BD482" s="30"/>
    </row>
    <row r="483" ht="15.75" customHeight="1">
      <c r="N483" s="30"/>
      <c r="AB483" s="30"/>
      <c r="AP483" s="30"/>
      <c r="BD483" s="30"/>
    </row>
    <row r="484" ht="15.75" customHeight="1">
      <c r="N484" s="30"/>
      <c r="AB484" s="30"/>
      <c r="AP484" s="30"/>
      <c r="BD484" s="30"/>
    </row>
    <row r="485" ht="15.75" customHeight="1">
      <c r="N485" s="30"/>
      <c r="AB485" s="30"/>
      <c r="AP485" s="30"/>
      <c r="BD485" s="30"/>
    </row>
    <row r="486" ht="15.75" customHeight="1">
      <c r="N486" s="30"/>
      <c r="AB486" s="30"/>
      <c r="AP486" s="30"/>
      <c r="BD486" s="30"/>
    </row>
    <row r="487" ht="15.75" customHeight="1">
      <c r="N487" s="30"/>
      <c r="AB487" s="30"/>
      <c r="AP487" s="30"/>
      <c r="BD487" s="30"/>
    </row>
    <row r="488" ht="15.75" customHeight="1">
      <c r="N488" s="30"/>
      <c r="AB488" s="30"/>
      <c r="AP488" s="30"/>
      <c r="BD488" s="30"/>
    </row>
    <row r="489" ht="15.75" customHeight="1">
      <c r="N489" s="30"/>
      <c r="AB489" s="30"/>
      <c r="AP489" s="30"/>
      <c r="BD489" s="30"/>
    </row>
    <row r="490" ht="15.75" customHeight="1">
      <c r="N490" s="30"/>
      <c r="AB490" s="30"/>
      <c r="AP490" s="30"/>
      <c r="BD490" s="30"/>
    </row>
    <row r="491" ht="15.75" customHeight="1">
      <c r="N491" s="30"/>
      <c r="AB491" s="30"/>
      <c r="AP491" s="30"/>
      <c r="BD491" s="30"/>
    </row>
    <row r="492" ht="15.75" customHeight="1">
      <c r="N492" s="30"/>
      <c r="AB492" s="30"/>
      <c r="AP492" s="30"/>
      <c r="BD492" s="30"/>
    </row>
    <row r="493" ht="15.75" customHeight="1">
      <c r="N493" s="30"/>
      <c r="AB493" s="30"/>
      <c r="AP493" s="30"/>
      <c r="BD493" s="30"/>
    </row>
    <row r="494" ht="15.75" customHeight="1">
      <c r="N494" s="30"/>
      <c r="AB494" s="30"/>
      <c r="AP494" s="30"/>
      <c r="BD494" s="30"/>
    </row>
    <row r="495" ht="15.75" customHeight="1">
      <c r="N495" s="30"/>
      <c r="AB495" s="30"/>
      <c r="AP495" s="30"/>
      <c r="BD495" s="30"/>
    </row>
    <row r="496" ht="15.75" customHeight="1">
      <c r="N496" s="30"/>
      <c r="AB496" s="30"/>
      <c r="AP496" s="30"/>
      <c r="BD496" s="30"/>
    </row>
    <row r="497" ht="15.75" customHeight="1">
      <c r="N497" s="30"/>
      <c r="AB497" s="30"/>
      <c r="AP497" s="30"/>
      <c r="BD497" s="30"/>
    </row>
    <row r="498" ht="15.75" customHeight="1">
      <c r="N498" s="30"/>
      <c r="AB498" s="30"/>
      <c r="AP498" s="30"/>
      <c r="BD498" s="30"/>
    </row>
    <row r="499" ht="15.75" customHeight="1">
      <c r="N499" s="30"/>
      <c r="AB499" s="30"/>
      <c r="AP499" s="30"/>
      <c r="BD499" s="30"/>
    </row>
    <row r="500" ht="15.75" customHeight="1">
      <c r="N500" s="30"/>
      <c r="AB500" s="30"/>
      <c r="AP500" s="30"/>
      <c r="BD500" s="30"/>
    </row>
    <row r="501" ht="15.75" customHeight="1">
      <c r="N501" s="30"/>
      <c r="AB501" s="30"/>
      <c r="AP501" s="30"/>
      <c r="BD501" s="30"/>
    </row>
    <row r="502" ht="15.75" customHeight="1">
      <c r="N502" s="30"/>
      <c r="AB502" s="30"/>
      <c r="AP502" s="30"/>
      <c r="BD502" s="30"/>
    </row>
    <row r="503" ht="15.75" customHeight="1">
      <c r="N503" s="30"/>
      <c r="AB503" s="30"/>
      <c r="AP503" s="30"/>
      <c r="BD503" s="30"/>
    </row>
    <row r="504" ht="15.75" customHeight="1">
      <c r="N504" s="30"/>
      <c r="AB504" s="30"/>
      <c r="AP504" s="30"/>
      <c r="BD504" s="30"/>
    </row>
    <row r="505" ht="15.75" customHeight="1">
      <c r="N505" s="30"/>
      <c r="AB505" s="30"/>
      <c r="AP505" s="30"/>
      <c r="BD505" s="30"/>
    </row>
    <row r="506" ht="15.75" customHeight="1">
      <c r="N506" s="30"/>
      <c r="AB506" s="30"/>
      <c r="AP506" s="30"/>
      <c r="BD506" s="30"/>
    </row>
    <row r="507" ht="15.75" customHeight="1">
      <c r="N507" s="30"/>
      <c r="AB507" s="30"/>
      <c r="AP507" s="30"/>
      <c r="BD507" s="30"/>
    </row>
    <row r="508" ht="15.75" customHeight="1">
      <c r="N508" s="30"/>
      <c r="AB508" s="30"/>
      <c r="AP508" s="30"/>
      <c r="BD508" s="30"/>
    </row>
    <row r="509" ht="15.75" customHeight="1">
      <c r="N509" s="30"/>
      <c r="AB509" s="30"/>
      <c r="AP509" s="30"/>
      <c r="BD509" s="30"/>
    </row>
    <row r="510" ht="15.75" customHeight="1">
      <c r="N510" s="30"/>
      <c r="AB510" s="30"/>
      <c r="AP510" s="30"/>
      <c r="BD510" s="30"/>
    </row>
    <row r="511" ht="15.75" customHeight="1">
      <c r="N511" s="30"/>
      <c r="AB511" s="30"/>
      <c r="AP511" s="30"/>
      <c r="BD511" s="30"/>
    </row>
    <row r="512" ht="15.75" customHeight="1">
      <c r="N512" s="30"/>
      <c r="AB512" s="30"/>
      <c r="AP512" s="30"/>
      <c r="BD512" s="30"/>
    </row>
    <row r="513" ht="15.75" customHeight="1">
      <c r="N513" s="30"/>
      <c r="AB513" s="30"/>
      <c r="AP513" s="30"/>
      <c r="BD513" s="30"/>
    </row>
    <row r="514" ht="15.75" customHeight="1">
      <c r="N514" s="30"/>
      <c r="AB514" s="30"/>
      <c r="AP514" s="30"/>
      <c r="BD514" s="30"/>
    </row>
    <row r="515" ht="15.75" customHeight="1">
      <c r="N515" s="30"/>
      <c r="AB515" s="30"/>
      <c r="AP515" s="30"/>
      <c r="BD515" s="30"/>
    </row>
    <row r="516" ht="15.75" customHeight="1">
      <c r="N516" s="30"/>
      <c r="AB516" s="30"/>
      <c r="AP516" s="30"/>
      <c r="BD516" s="30"/>
    </row>
    <row r="517" ht="15.75" customHeight="1">
      <c r="N517" s="30"/>
      <c r="AB517" s="30"/>
      <c r="AP517" s="30"/>
      <c r="BD517" s="30"/>
    </row>
    <row r="518" ht="15.75" customHeight="1">
      <c r="N518" s="30"/>
      <c r="AB518" s="30"/>
      <c r="AP518" s="30"/>
      <c r="BD518" s="30"/>
    </row>
    <row r="519" ht="15.75" customHeight="1">
      <c r="N519" s="30"/>
      <c r="AB519" s="30"/>
      <c r="AP519" s="30"/>
      <c r="BD519" s="30"/>
    </row>
    <row r="520" ht="15.75" customHeight="1">
      <c r="N520" s="30"/>
      <c r="AB520" s="30"/>
      <c r="AP520" s="30"/>
      <c r="BD520" s="30"/>
    </row>
    <row r="521" ht="15.75" customHeight="1">
      <c r="N521" s="30"/>
      <c r="AB521" s="30"/>
      <c r="AP521" s="30"/>
      <c r="BD521" s="30"/>
    </row>
    <row r="522" ht="15.75" customHeight="1">
      <c r="N522" s="30"/>
      <c r="AB522" s="30"/>
      <c r="AP522" s="30"/>
      <c r="BD522" s="30"/>
    </row>
    <row r="523" ht="15.75" customHeight="1">
      <c r="N523" s="30"/>
      <c r="AB523" s="30"/>
      <c r="AP523" s="30"/>
      <c r="BD523" s="30"/>
    </row>
    <row r="524" ht="15.75" customHeight="1">
      <c r="N524" s="30"/>
      <c r="AB524" s="30"/>
      <c r="AP524" s="30"/>
      <c r="BD524" s="30"/>
    </row>
    <row r="525" ht="15.75" customHeight="1">
      <c r="N525" s="30"/>
      <c r="AB525" s="30"/>
      <c r="AP525" s="30"/>
      <c r="BD525" s="30"/>
    </row>
    <row r="526" ht="15.75" customHeight="1">
      <c r="N526" s="30"/>
      <c r="AB526" s="30"/>
      <c r="AP526" s="30"/>
      <c r="BD526" s="30"/>
    </row>
    <row r="527" ht="15.75" customHeight="1">
      <c r="N527" s="30"/>
      <c r="AB527" s="30"/>
      <c r="AP527" s="30"/>
      <c r="BD527" s="30"/>
    </row>
    <row r="528" ht="15.75" customHeight="1">
      <c r="N528" s="30"/>
      <c r="AB528" s="30"/>
      <c r="AP528" s="30"/>
      <c r="BD528" s="30"/>
    </row>
    <row r="529" ht="15.75" customHeight="1">
      <c r="N529" s="30"/>
      <c r="AB529" s="30"/>
      <c r="AP529" s="30"/>
      <c r="BD529" s="30"/>
    </row>
    <row r="530" ht="15.75" customHeight="1">
      <c r="N530" s="30"/>
      <c r="AB530" s="30"/>
      <c r="AP530" s="30"/>
      <c r="BD530" s="30"/>
    </row>
    <row r="531" ht="15.75" customHeight="1">
      <c r="N531" s="30"/>
      <c r="AB531" s="30"/>
      <c r="AP531" s="30"/>
      <c r="BD531" s="30"/>
    </row>
    <row r="532" ht="15.75" customHeight="1">
      <c r="N532" s="30"/>
      <c r="AB532" s="30"/>
      <c r="AP532" s="30"/>
      <c r="BD532" s="30"/>
    </row>
    <row r="533" ht="15.75" customHeight="1">
      <c r="N533" s="30"/>
      <c r="AB533" s="30"/>
      <c r="AP533" s="30"/>
      <c r="BD533" s="30"/>
    </row>
    <row r="534" ht="15.75" customHeight="1">
      <c r="N534" s="30"/>
      <c r="AB534" s="30"/>
      <c r="AP534" s="30"/>
      <c r="BD534" s="30"/>
    </row>
    <row r="535" ht="15.75" customHeight="1">
      <c r="N535" s="30"/>
      <c r="AB535" s="30"/>
      <c r="AP535" s="30"/>
      <c r="BD535" s="30"/>
    </row>
    <row r="536" ht="15.75" customHeight="1">
      <c r="N536" s="30"/>
      <c r="AB536" s="30"/>
      <c r="AP536" s="30"/>
      <c r="BD536" s="30"/>
    </row>
    <row r="537" ht="15.75" customHeight="1">
      <c r="N537" s="30"/>
      <c r="AB537" s="30"/>
      <c r="AP537" s="30"/>
      <c r="BD537" s="30"/>
    </row>
    <row r="538" ht="15.75" customHeight="1">
      <c r="N538" s="30"/>
      <c r="AB538" s="30"/>
      <c r="AP538" s="30"/>
      <c r="BD538" s="30"/>
    </row>
    <row r="539" ht="15.75" customHeight="1">
      <c r="N539" s="30"/>
      <c r="AB539" s="30"/>
      <c r="AP539" s="30"/>
      <c r="BD539" s="30"/>
    </row>
    <row r="540" ht="15.75" customHeight="1">
      <c r="N540" s="30"/>
      <c r="AB540" s="30"/>
      <c r="AP540" s="30"/>
      <c r="BD540" s="30"/>
    </row>
    <row r="541" ht="15.75" customHeight="1">
      <c r="N541" s="30"/>
      <c r="AB541" s="30"/>
      <c r="AP541" s="30"/>
      <c r="BD541" s="30"/>
    </row>
    <row r="542" ht="15.75" customHeight="1">
      <c r="N542" s="30"/>
      <c r="AB542" s="30"/>
      <c r="AP542" s="30"/>
      <c r="BD542" s="30"/>
    </row>
    <row r="543" ht="15.75" customHeight="1">
      <c r="N543" s="30"/>
      <c r="AB543" s="30"/>
      <c r="AP543" s="30"/>
      <c r="BD543" s="30"/>
    </row>
    <row r="544" ht="15.75" customHeight="1">
      <c r="N544" s="30"/>
      <c r="AB544" s="30"/>
      <c r="AP544" s="30"/>
      <c r="BD544" s="30"/>
    </row>
    <row r="545" ht="15.75" customHeight="1">
      <c r="N545" s="30"/>
      <c r="AB545" s="30"/>
      <c r="AP545" s="30"/>
      <c r="BD545" s="30"/>
    </row>
    <row r="546" ht="15.75" customHeight="1">
      <c r="N546" s="30"/>
      <c r="AB546" s="30"/>
      <c r="AP546" s="30"/>
      <c r="BD546" s="30"/>
    </row>
    <row r="547" ht="15.75" customHeight="1">
      <c r="N547" s="30"/>
      <c r="AB547" s="30"/>
      <c r="AP547" s="30"/>
      <c r="BD547" s="30"/>
    </row>
    <row r="548" ht="15.75" customHeight="1">
      <c r="N548" s="30"/>
      <c r="AB548" s="30"/>
      <c r="AP548" s="30"/>
      <c r="BD548" s="30"/>
    </row>
    <row r="549" ht="15.75" customHeight="1">
      <c r="N549" s="30"/>
      <c r="AB549" s="30"/>
      <c r="AP549" s="30"/>
      <c r="BD549" s="30"/>
    </row>
    <row r="550" ht="15.75" customHeight="1">
      <c r="N550" s="30"/>
      <c r="AB550" s="30"/>
      <c r="AP550" s="30"/>
      <c r="BD550" s="30"/>
    </row>
    <row r="551" ht="15.75" customHeight="1">
      <c r="N551" s="30"/>
      <c r="AB551" s="30"/>
      <c r="AP551" s="30"/>
      <c r="BD551" s="30"/>
    </row>
    <row r="552" ht="15.75" customHeight="1">
      <c r="N552" s="30"/>
      <c r="AB552" s="30"/>
      <c r="AP552" s="30"/>
      <c r="BD552" s="30"/>
    </row>
    <row r="553" ht="15.75" customHeight="1">
      <c r="N553" s="30"/>
      <c r="AB553" s="30"/>
      <c r="AP553" s="30"/>
      <c r="BD553" s="30"/>
    </row>
    <row r="554" ht="15.75" customHeight="1">
      <c r="N554" s="30"/>
      <c r="AB554" s="30"/>
      <c r="AP554" s="30"/>
      <c r="BD554" s="30"/>
    </row>
    <row r="555" ht="15.75" customHeight="1">
      <c r="N555" s="30"/>
      <c r="AB555" s="30"/>
      <c r="AP555" s="30"/>
      <c r="BD555" s="30"/>
    </row>
    <row r="556" ht="15.75" customHeight="1">
      <c r="N556" s="30"/>
      <c r="AB556" s="30"/>
      <c r="AP556" s="30"/>
      <c r="BD556" s="30"/>
    </row>
    <row r="557" ht="15.75" customHeight="1">
      <c r="N557" s="30"/>
      <c r="AB557" s="30"/>
      <c r="AP557" s="30"/>
      <c r="BD557" s="30"/>
    </row>
    <row r="558" ht="15.75" customHeight="1">
      <c r="N558" s="30"/>
      <c r="AB558" s="30"/>
      <c r="AP558" s="30"/>
      <c r="BD558" s="30"/>
    </row>
    <row r="559" ht="15.75" customHeight="1">
      <c r="N559" s="30"/>
      <c r="AB559" s="30"/>
      <c r="AP559" s="30"/>
      <c r="BD559" s="30"/>
    </row>
    <row r="560" ht="15.75" customHeight="1">
      <c r="N560" s="30"/>
      <c r="AB560" s="30"/>
      <c r="AP560" s="30"/>
      <c r="BD560" s="30"/>
    </row>
    <row r="561" ht="15.75" customHeight="1">
      <c r="N561" s="30"/>
      <c r="AB561" s="30"/>
      <c r="AP561" s="30"/>
      <c r="BD561" s="30"/>
    </row>
    <row r="562" ht="15.75" customHeight="1">
      <c r="N562" s="30"/>
      <c r="AB562" s="30"/>
      <c r="AP562" s="30"/>
      <c r="BD562" s="30"/>
    </row>
    <row r="563" ht="15.75" customHeight="1">
      <c r="N563" s="30"/>
      <c r="AB563" s="30"/>
      <c r="AP563" s="30"/>
      <c r="BD563" s="30"/>
    </row>
    <row r="564" ht="15.75" customHeight="1">
      <c r="N564" s="30"/>
      <c r="AB564" s="30"/>
      <c r="AP564" s="30"/>
      <c r="BD564" s="30"/>
    </row>
    <row r="565" ht="15.75" customHeight="1">
      <c r="N565" s="30"/>
      <c r="AB565" s="30"/>
      <c r="AP565" s="30"/>
      <c r="BD565" s="30"/>
    </row>
    <row r="566" ht="15.75" customHeight="1">
      <c r="N566" s="30"/>
      <c r="AB566" s="30"/>
      <c r="AP566" s="30"/>
      <c r="BD566" s="30"/>
    </row>
    <row r="567" ht="15.75" customHeight="1">
      <c r="N567" s="30"/>
      <c r="AB567" s="30"/>
      <c r="AP567" s="30"/>
      <c r="BD567" s="30"/>
    </row>
    <row r="568" ht="15.75" customHeight="1">
      <c r="N568" s="30"/>
      <c r="AB568" s="30"/>
      <c r="AP568" s="30"/>
      <c r="BD568" s="30"/>
    </row>
    <row r="569" ht="15.75" customHeight="1">
      <c r="N569" s="30"/>
      <c r="AB569" s="30"/>
      <c r="AP569" s="30"/>
      <c r="BD569" s="30"/>
    </row>
    <row r="570" ht="15.75" customHeight="1">
      <c r="N570" s="30"/>
      <c r="AB570" s="30"/>
      <c r="AP570" s="30"/>
      <c r="BD570" s="30"/>
    </row>
    <row r="571" ht="15.75" customHeight="1">
      <c r="N571" s="30"/>
      <c r="AB571" s="30"/>
      <c r="AP571" s="30"/>
      <c r="BD571" s="30"/>
    </row>
    <row r="572" ht="15.75" customHeight="1">
      <c r="N572" s="30"/>
      <c r="AB572" s="30"/>
      <c r="AP572" s="30"/>
      <c r="BD572" s="30"/>
    </row>
    <row r="573" ht="15.75" customHeight="1">
      <c r="N573" s="30"/>
      <c r="AB573" s="30"/>
      <c r="AP573" s="30"/>
      <c r="BD573" s="30"/>
    </row>
    <row r="574" ht="15.75" customHeight="1">
      <c r="N574" s="30"/>
      <c r="AB574" s="30"/>
      <c r="AP574" s="30"/>
      <c r="BD574" s="30"/>
    </row>
    <row r="575" ht="15.75" customHeight="1">
      <c r="N575" s="30"/>
      <c r="AB575" s="30"/>
      <c r="AP575" s="30"/>
      <c r="BD575" s="30"/>
    </row>
    <row r="576" ht="15.75" customHeight="1">
      <c r="N576" s="30"/>
      <c r="AB576" s="30"/>
      <c r="AP576" s="30"/>
      <c r="BD576" s="30"/>
    </row>
    <row r="577" ht="15.75" customHeight="1">
      <c r="N577" s="30"/>
      <c r="AB577" s="30"/>
      <c r="AP577" s="30"/>
      <c r="BD577" s="30"/>
    </row>
    <row r="578" ht="15.75" customHeight="1">
      <c r="N578" s="30"/>
      <c r="AB578" s="30"/>
      <c r="AP578" s="30"/>
      <c r="BD578" s="30"/>
    </row>
    <row r="579" ht="15.75" customHeight="1">
      <c r="N579" s="30"/>
      <c r="AB579" s="30"/>
      <c r="AP579" s="30"/>
      <c r="BD579" s="30"/>
    </row>
    <row r="580" ht="15.75" customHeight="1">
      <c r="N580" s="30"/>
      <c r="AB580" s="30"/>
      <c r="AP580" s="30"/>
      <c r="BD580" s="30"/>
    </row>
    <row r="581" ht="15.75" customHeight="1">
      <c r="N581" s="30"/>
      <c r="AB581" s="30"/>
      <c r="AP581" s="30"/>
      <c r="BD581" s="30"/>
    </row>
    <row r="582" ht="15.75" customHeight="1">
      <c r="N582" s="30"/>
      <c r="AB582" s="30"/>
      <c r="AP582" s="30"/>
      <c r="BD582" s="30"/>
    </row>
    <row r="583" ht="15.75" customHeight="1">
      <c r="N583" s="30"/>
      <c r="AB583" s="30"/>
      <c r="AP583" s="30"/>
      <c r="BD583" s="30"/>
    </row>
    <row r="584" ht="15.75" customHeight="1">
      <c r="N584" s="30"/>
      <c r="AB584" s="30"/>
      <c r="AP584" s="30"/>
      <c r="BD584" s="30"/>
    </row>
    <row r="585" ht="15.75" customHeight="1">
      <c r="N585" s="30"/>
      <c r="AB585" s="30"/>
      <c r="AP585" s="30"/>
      <c r="BD585" s="30"/>
    </row>
    <row r="586" ht="15.75" customHeight="1">
      <c r="N586" s="30"/>
      <c r="AB586" s="30"/>
      <c r="AP586" s="30"/>
      <c r="BD586" s="30"/>
    </row>
    <row r="587" ht="15.75" customHeight="1">
      <c r="N587" s="30"/>
      <c r="AB587" s="30"/>
      <c r="AP587" s="30"/>
      <c r="BD587" s="30"/>
    </row>
    <row r="588" ht="15.75" customHeight="1">
      <c r="N588" s="30"/>
      <c r="AB588" s="30"/>
      <c r="AP588" s="30"/>
      <c r="BD588" s="30"/>
    </row>
    <row r="589" ht="15.75" customHeight="1">
      <c r="N589" s="30"/>
      <c r="AB589" s="30"/>
      <c r="AP589" s="30"/>
      <c r="BD589" s="30"/>
    </row>
    <row r="590" ht="15.75" customHeight="1">
      <c r="N590" s="30"/>
      <c r="AB590" s="30"/>
      <c r="AP590" s="30"/>
      <c r="BD590" s="30"/>
    </row>
    <row r="591" ht="15.75" customHeight="1">
      <c r="N591" s="30"/>
      <c r="AB591" s="30"/>
      <c r="AP591" s="30"/>
      <c r="BD591" s="30"/>
    </row>
    <row r="592" ht="15.75" customHeight="1">
      <c r="N592" s="30"/>
      <c r="AB592" s="30"/>
      <c r="AP592" s="30"/>
      <c r="BD592" s="30"/>
    </row>
    <row r="593" ht="15.75" customHeight="1">
      <c r="N593" s="30"/>
      <c r="AB593" s="30"/>
      <c r="AP593" s="30"/>
      <c r="BD593" s="30"/>
    </row>
    <row r="594" ht="15.75" customHeight="1">
      <c r="N594" s="30"/>
      <c r="AB594" s="30"/>
      <c r="AP594" s="30"/>
      <c r="BD594" s="30"/>
    </row>
    <row r="595" ht="15.75" customHeight="1">
      <c r="N595" s="30"/>
      <c r="AB595" s="30"/>
      <c r="AP595" s="30"/>
      <c r="BD595" s="30"/>
    </row>
    <row r="596" ht="15.75" customHeight="1">
      <c r="N596" s="30"/>
      <c r="AB596" s="30"/>
      <c r="AP596" s="30"/>
      <c r="BD596" s="30"/>
    </row>
    <row r="597" ht="15.75" customHeight="1">
      <c r="N597" s="30"/>
      <c r="AB597" s="30"/>
      <c r="AP597" s="30"/>
      <c r="BD597" s="30"/>
    </row>
    <row r="598" ht="15.75" customHeight="1">
      <c r="N598" s="30"/>
      <c r="AB598" s="30"/>
      <c r="AP598" s="30"/>
      <c r="BD598" s="30"/>
    </row>
    <row r="599" ht="15.75" customHeight="1">
      <c r="N599" s="30"/>
      <c r="AB599" s="30"/>
      <c r="AP599" s="30"/>
      <c r="BD599" s="30"/>
    </row>
    <row r="600" ht="15.75" customHeight="1">
      <c r="N600" s="30"/>
      <c r="AB600" s="30"/>
      <c r="AP600" s="30"/>
      <c r="BD600" s="30"/>
    </row>
    <row r="601" ht="15.75" customHeight="1">
      <c r="N601" s="30"/>
      <c r="AB601" s="30"/>
      <c r="AP601" s="30"/>
      <c r="BD601" s="30"/>
    </row>
    <row r="602" ht="15.75" customHeight="1">
      <c r="N602" s="30"/>
      <c r="AB602" s="30"/>
      <c r="AP602" s="30"/>
      <c r="BD602" s="30"/>
    </row>
    <row r="603" ht="15.75" customHeight="1">
      <c r="N603" s="30"/>
      <c r="AB603" s="30"/>
      <c r="AP603" s="30"/>
      <c r="BD603" s="30"/>
    </row>
    <row r="604" ht="15.75" customHeight="1">
      <c r="N604" s="30"/>
      <c r="AB604" s="30"/>
      <c r="AP604" s="30"/>
      <c r="BD604" s="30"/>
    </row>
    <row r="605" ht="15.75" customHeight="1">
      <c r="N605" s="30"/>
      <c r="AB605" s="30"/>
      <c r="AP605" s="30"/>
      <c r="BD605" s="30"/>
    </row>
    <row r="606" ht="15.75" customHeight="1">
      <c r="N606" s="30"/>
      <c r="AB606" s="30"/>
      <c r="AP606" s="30"/>
      <c r="BD606" s="30"/>
    </row>
    <row r="607" ht="15.75" customHeight="1">
      <c r="N607" s="30"/>
      <c r="AB607" s="30"/>
      <c r="AP607" s="30"/>
      <c r="BD607" s="30"/>
    </row>
    <row r="608" ht="15.75" customHeight="1">
      <c r="N608" s="30"/>
      <c r="AB608" s="30"/>
      <c r="AP608" s="30"/>
      <c r="BD608" s="30"/>
    </row>
    <row r="609" ht="15.75" customHeight="1">
      <c r="N609" s="30"/>
      <c r="AB609" s="30"/>
      <c r="AP609" s="30"/>
      <c r="BD609" s="30"/>
    </row>
    <row r="610" ht="15.75" customHeight="1">
      <c r="N610" s="30"/>
      <c r="AB610" s="30"/>
      <c r="AP610" s="30"/>
      <c r="BD610" s="30"/>
    </row>
    <row r="611" ht="15.75" customHeight="1">
      <c r="N611" s="30"/>
      <c r="AB611" s="30"/>
      <c r="AP611" s="30"/>
      <c r="BD611" s="30"/>
    </row>
    <row r="612" ht="15.75" customHeight="1">
      <c r="N612" s="30"/>
      <c r="AB612" s="30"/>
      <c r="AP612" s="30"/>
      <c r="BD612" s="30"/>
    </row>
    <row r="613" ht="15.75" customHeight="1">
      <c r="N613" s="30"/>
      <c r="AB613" s="30"/>
      <c r="AP613" s="30"/>
      <c r="BD613" s="30"/>
    </row>
    <row r="614" ht="15.75" customHeight="1">
      <c r="N614" s="30"/>
      <c r="AB614" s="30"/>
      <c r="AP614" s="30"/>
      <c r="BD614" s="30"/>
    </row>
    <row r="615" ht="15.75" customHeight="1">
      <c r="N615" s="30"/>
      <c r="AB615" s="30"/>
      <c r="AP615" s="30"/>
      <c r="BD615" s="30"/>
    </row>
    <row r="616" ht="15.75" customHeight="1">
      <c r="N616" s="30"/>
      <c r="AB616" s="30"/>
      <c r="AP616" s="30"/>
      <c r="BD616" s="30"/>
    </row>
    <row r="617" ht="15.75" customHeight="1">
      <c r="N617" s="30"/>
      <c r="AB617" s="30"/>
      <c r="AP617" s="30"/>
      <c r="BD617" s="30"/>
    </row>
    <row r="618" ht="15.75" customHeight="1">
      <c r="N618" s="30"/>
      <c r="AB618" s="30"/>
      <c r="AP618" s="30"/>
      <c r="BD618" s="30"/>
    </row>
    <row r="619" ht="15.75" customHeight="1">
      <c r="N619" s="30"/>
      <c r="AB619" s="30"/>
      <c r="AP619" s="30"/>
      <c r="BD619" s="30"/>
    </row>
    <row r="620" ht="15.75" customHeight="1">
      <c r="N620" s="30"/>
      <c r="AB620" s="30"/>
      <c r="AP620" s="30"/>
      <c r="BD620" s="30"/>
    </row>
    <row r="621" ht="15.75" customHeight="1">
      <c r="N621" s="30"/>
      <c r="AB621" s="30"/>
      <c r="AP621" s="30"/>
      <c r="BD621" s="30"/>
    </row>
    <row r="622" ht="15.75" customHeight="1">
      <c r="N622" s="30"/>
      <c r="AB622" s="30"/>
      <c r="AP622" s="30"/>
      <c r="BD622" s="30"/>
    </row>
    <row r="623" ht="15.75" customHeight="1">
      <c r="N623" s="30"/>
      <c r="AB623" s="30"/>
      <c r="AP623" s="30"/>
      <c r="BD623" s="30"/>
    </row>
    <row r="624" ht="15.75" customHeight="1">
      <c r="N624" s="30"/>
      <c r="AB624" s="30"/>
      <c r="AP624" s="30"/>
      <c r="BD624" s="30"/>
    </row>
    <row r="625" ht="15.75" customHeight="1">
      <c r="N625" s="30"/>
      <c r="AB625" s="30"/>
      <c r="AP625" s="30"/>
      <c r="BD625" s="30"/>
    </row>
    <row r="626" ht="15.75" customHeight="1">
      <c r="N626" s="30"/>
      <c r="AB626" s="30"/>
      <c r="AP626" s="30"/>
      <c r="BD626" s="30"/>
    </row>
    <row r="627" ht="15.75" customHeight="1">
      <c r="N627" s="30"/>
      <c r="AB627" s="30"/>
      <c r="AP627" s="30"/>
      <c r="BD627" s="30"/>
    </row>
    <row r="628" ht="15.75" customHeight="1">
      <c r="N628" s="30"/>
      <c r="AB628" s="30"/>
      <c r="AP628" s="30"/>
      <c r="BD628" s="30"/>
    </row>
    <row r="629" ht="15.75" customHeight="1">
      <c r="N629" s="30"/>
      <c r="AB629" s="30"/>
      <c r="AP629" s="30"/>
      <c r="BD629" s="30"/>
    </row>
    <row r="630" ht="15.75" customHeight="1">
      <c r="N630" s="30"/>
      <c r="AB630" s="30"/>
      <c r="AP630" s="30"/>
      <c r="BD630" s="30"/>
    </row>
    <row r="631" ht="15.75" customHeight="1">
      <c r="N631" s="30"/>
      <c r="AB631" s="30"/>
      <c r="AP631" s="30"/>
      <c r="BD631" s="30"/>
    </row>
    <row r="632" ht="15.75" customHeight="1">
      <c r="N632" s="30"/>
      <c r="AB632" s="30"/>
      <c r="AP632" s="30"/>
      <c r="BD632" s="30"/>
    </row>
    <row r="633" ht="15.75" customHeight="1">
      <c r="N633" s="30"/>
      <c r="AB633" s="30"/>
      <c r="AP633" s="30"/>
      <c r="BD633" s="30"/>
    </row>
    <row r="634" ht="15.75" customHeight="1">
      <c r="N634" s="30"/>
      <c r="AB634" s="30"/>
      <c r="AP634" s="30"/>
      <c r="BD634" s="30"/>
    </row>
    <row r="635" ht="15.75" customHeight="1">
      <c r="N635" s="30"/>
      <c r="AB635" s="30"/>
      <c r="AP635" s="30"/>
      <c r="BD635" s="30"/>
    </row>
    <row r="636" ht="15.75" customHeight="1">
      <c r="N636" s="30"/>
      <c r="AB636" s="30"/>
      <c r="AP636" s="30"/>
      <c r="BD636" s="30"/>
    </row>
    <row r="637" ht="15.75" customHeight="1">
      <c r="N637" s="30"/>
      <c r="AB637" s="30"/>
      <c r="AP637" s="30"/>
      <c r="BD637" s="30"/>
    </row>
    <row r="638" ht="15.75" customHeight="1">
      <c r="N638" s="30"/>
      <c r="AB638" s="30"/>
      <c r="AP638" s="30"/>
      <c r="BD638" s="30"/>
    </row>
    <row r="639" ht="15.75" customHeight="1">
      <c r="N639" s="30"/>
      <c r="AB639" s="30"/>
      <c r="AP639" s="30"/>
      <c r="BD639" s="30"/>
    </row>
    <row r="640" ht="15.75" customHeight="1">
      <c r="N640" s="30"/>
      <c r="AB640" s="30"/>
      <c r="AP640" s="30"/>
      <c r="BD640" s="30"/>
    </row>
    <row r="641" ht="15.75" customHeight="1">
      <c r="N641" s="30"/>
      <c r="AB641" s="30"/>
      <c r="AP641" s="30"/>
      <c r="BD641" s="30"/>
    </row>
    <row r="642" ht="15.75" customHeight="1">
      <c r="N642" s="30"/>
      <c r="AB642" s="30"/>
      <c r="AP642" s="30"/>
      <c r="BD642" s="30"/>
    </row>
    <row r="643" ht="15.75" customHeight="1">
      <c r="N643" s="30"/>
      <c r="AB643" s="30"/>
      <c r="AP643" s="30"/>
      <c r="BD643" s="30"/>
    </row>
    <row r="644" ht="15.75" customHeight="1">
      <c r="N644" s="30"/>
      <c r="AB644" s="30"/>
      <c r="AP644" s="30"/>
      <c r="BD644" s="30"/>
    </row>
    <row r="645" ht="15.75" customHeight="1">
      <c r="N645" s="30"/>
      <c r="AB645" s="30"/>
      <c r="AP645" s="30"/>
      <c r="BD645" s="30"/>
    </row>
    <row r="646" ht="15.75" customHeight="1">
      <c r="N646" s="30"/>
      <c r="AB646" s="30"/>
      <c r="AP646" s="30"/>
      <c r="BD646" s="30"/>
    </row>
    <row r="647" ht="15.75" customHeight="1">
      <c r="N647" s="30"/>
      <c r="AB647" s="30"/>
      <c r="AP647" s="30"/>
      <c r="BD647" s="30"/>
    </row>
    <row r="648" ht="15.75" customHeight="1">
      <c r="N648" s="30"/>
      <c r="AB648" s="30"/>
      <c r="AP648" s="30"/>
      <c r="BD648" s="30"/>
    </row>
    <row r="649" ht="15.75" customHeight="1">
      <c r="N649" s="30"/>
      <c r="AB649" s="30"/>
      <c r="AP649" s="30"/>
      <c r="BD649" s="30"/>
    </row>
    <row r="650" ht="15.75" customHeight="1">
      <c r="N650" s="30"/>
      <c r="AB650" s="30"/>
      <c r="AP650" s="30"/>
      <c r="BD650" s="30"/>
    </row>
    <row r="651" ht="15.75" customHeight="1">
      <c r="N651" s="30"/>
      <c r="AB651" s="30"/>
      <c r="AP651" s="30"/>
      <c r="BD651" s="30"/>
    </row>
    <row r="652" ht="15.75" customHeight="1">
      <c r="N652" s="30"/>
      <c r="AB652" s="30"/>
      <c r="AP652" s="30"/>
      <c r="BD652" s="30"/>
    </row>
    <row r="653" ht="15.75" customHeight="1">
      <c r="N653" s="30"/>
      <c r="AB653" s="30"/>
      <c r="AP653" s="30"/>
      <c r="BD653" s="30"/>
    </row>
    <row r="654" ht="15.75" customHeight="1">
      <c r="N654" s="30"/>
      <c r="AB654" s="30"/>
      <c r="AP654" s="30"/>
      <c r="BD654" s="30"/>
    </row>
    <row r="655" ht="15.75" customHeight="1">
      <c r="N655" s="30"/>
      <c r="AB655" s="30"/>
      <c r="AP655" s="30"/>
      <c r="BD655" s="30"/>
    </row>
    <row r="656" ht="15.75" customHeight="1">
      <c r="N656" s="30"/>
      <c r="AB656" s="30"/>
      <c r="AP656" s="30"/>
      <c r="BD656" s="30"/>
    </row>
    <row r="657" ht="15.75" customHeight="1">
      <c r="N657" s="30"/>
      <c r="AB657" s="30"/>
      <c r="AP657" s="30"/>
      <c r="BD657" s="30"/>
    </row>
    <row r="658" ht="15.75" customHeight="1">
      <c r="N658" s="30"/>
      <c r="AB658" s="30"/>
      <c r="AP658" s="30"/>
      <c r="BD658" s="30"/>
    </row>
    <row r="659" ht="15.75" customHeight="1">
      <c r="N659" s="30"/>
      <c r="AB659" s="30"/>
      <c r="AP659" s="30"/>
      <c r="BD659" s="30"/>
    </row>
    <row r="660" ht="15.75" customHeight="1">
      <c r="N660" s="30"/>
      <c r="AB660" s="30"/>
      <c r="AP660" s="30"/>
      <c r="BD660" s="30"/>
    </row>
    <row r="661" ht="15.75" customHeight="1">
      <c r="N661" s="30"/>
      <c r="AB661" s="30"/>
      <c r="AP661" s="30"/>
      <c r="BD661" s="30"/>
    </row>
    <row r="662" ht="15.75" customHeight="1">
      <c r="N662" s="30"/>
      <c r="AB662" s="30"/>
      <c r="AP662" s="30"/>
      <c r="BD662" s="30"/>
    </row>
    <row r="663" ht="15.75" customHeight="1">
      <c r="N663" s="30"/>
      <c r="AB663" s="30"/>
      <c r="AP663" s="30"/>
      <c r="BD663" s="30"/>
    </row>
    <row r="664" ht="15.75" customHeight="1">
      <c r="N664" s="30"/>
      <c r="AB664" s="30"/>
      <c r="AP664" s="30"/>
      <c r="BD664" s="30"/>
    </row>
    <row r="665" ht="15.75" customHeight="1">
      <c r="N665" s="30"/>
      <c r="AB665" s="30"/>
      <c r="AP665" s="30"/>
      <c r="BD665" s="30"/>
    </row>
    <row r="666" ht="15.75" customHeight="1">
      <c r="N666" s="30"/>
      <c r="AB666" s="30"/>
      <c r="AP666" s="30"/>
      <c r="BD666" s="30"/>
    </row>
    <row r="667" ht="15.75" customHeight="1">
      <c r="N667" s="30"/>
      <c r="AB667" s="30"/>
      <c r="AP667" s="30"/>
      <c r="BD667" s="30"/>
    </row>
    <row r="668" ht="15.75" customHeight="1">
      <c r="N668" s="30"/>
      <c r="AB668" s="30"/>
      <c r="AP668" s="30"/>
      <c r="BD668" s="30"/>
    </row>
    <row r="669" ht="15.75" customHeight="1">
      <c r="N669" s="30"/>
      <c r="AB669" s="30"/>
      <c r="AP669" s="30"/>
      <c r="BD669" s="30"/>
    </row>
    <row r="670" ht="15.75" customHeight="1">
      <c r="N670" s="30"/>
      <c r="AB670" s="30"/>
      <c r="AP670" s="30"/>
      <c r="BD670" s="30"/>
    </row>
    <row r="671" ht="15.75" customHeight="1">
      <c r="N671" s="30"/>
      <c r="AB671" s="30"/>
      <c r="AP671" s="30"/>
      <c r="BD671" s="30"/>
    </row>
    <row r="672" ht="15.75" customHeight="1">
      <c r="N672" s="30"/>
      <c r="AB672" s="30"/>
      <c r="AP672" s="30"/>
      <c r="BD672" s="30"/>
    </row>
    <row r="673" ht="15.75" customHeight="1">
      <c r="N673" s="30"/>
      <c r="AB673" s="30"/>
      <c r="AP673" s="30"/>
      <c r="BD673" s="30"/>
    </row>
    <row r="674" ht="15.75" customHeight="1">
      <c r="N674" s="30"/>
      <c r="AB674" s="30"/>
      <c r="AP674" s="30"/>
      <c r="BD674" s="30"/>
    </row>
    <row r="675" ht="15.75" customHeight="1">
      <c r="N675" s="30"/>
      <c r="AB675" s="30"/>
      <c r="AP675" s="30"/>
      <c r="BD675" s="30"/>
    </row>
    <row r="676" ht="15.75" customHeight="1">
      <c r="N676" s="30"/>
      <c r="AB676" s="30"/>
      <c r="AP676" s="30"/>
      <c r="BD676" s="30"/>
    </row>
    <row r="677" ht="15.75" customHeight="1">
      <c r="N677" s="30"/>
      <c r="AB677" s="30"/>
      <c r="AP677" s="30"/>
      <c r="BD677" s="30"/>
    </row>
    <row r="678" ht="15.75" customHeight="1">
      <c r="N678" s="30"/>
      <c r="AB678" s="30"/>
      <c r="AP678" s="30"/>
      <c r="BD678" s="30"/>
    </row>
    <row r="679" ht="15.75" customHeight="1">
      <c r="N679" s="30"/>
      <c r="AB679" s="30"/>
      <c r="AP679" s="30"/>
      <c r="BD679" s="30"/>
    </row>
    <row r="680" ht="15.75" customHeight="1">
      <c r="N680" s="30"/>
      <c r="AB680" s="30"/>
      <c r="AP680" s="30"/>
      <c r="BD680" s="30"/>
    </row>
    <row r="681" ht="15.75" customHeight="1">
      <c r="N681" s="30"/>
      <c r="AB681" s="30"/>
      <c r="AP681" s="30"/>
      <c r="BD681" s="30"/>
    </row>
    <row r="682" ht="15.75" customHeight="1">
      <c r="N682" s="30"/>
      <c r="AB682" s="30"/>
      <c r="AP682" s="30"/>
      <c r="BD682" s="30"/>
    </row>
    <row r="683" ht="15.75" customHeight="1">
      <c r="N683" s="30"/>
      <c r="AB683" s="30"/>
      <c r="AP683" s="30"/>
      <c r="BD683" s="30"/>
    </row>
    <row r="684" ht="15.75" customHeight="1">
      <c r="N684" s="30"/>
      <c r="AB684" s="30"/>
      <c r="AP684" s="30"/>
      <c r="BD684" s="30"/>
    </row>
    <row r="685" ht="15.75" customHeight="1">
      <c r="N685" s="30"/>
      <c r="AB685" s="30"/>
      <c r="AP685" s="30"/>
      <c r="BD685" s="30"/>
    </row>
    <row r="686" ht="15.75" customHeight="1">
      <c r="N686" s="30"/>
      <c r="AB686" s="30"/>
      <c r="AP686" s="30"/>
      <c r="BD686" s="30"/>
    </row>
    <row r="687" ht="15.75" customHeight="1">
      <c r="N687" s="30"/>
      <c r="AB687" s="30"/>
      <c r="AP687" s="30"/>
      <c r="BD687" s="30"/>
    </row>
    <row r="688" ht="15.75" customHeight="1">
      <c r="N688" s="30"/>
      <c r="AB688" s="30"/>
      <c r="AP688" s="30"/>
      <c r="BD688" s="30"/>
    </row>
    <row r="689" ht="15.75" customHeight="1">
      <c r="N689" s="30"/>
      <c r="AB689" s="30"/>
      <c r="AP689" s="30"/>
      <c r="BD689" s="30"/>
    </row>
    <row r="690" ht="15.75" customHeight="1">
      <c r="N690" s="30"/>
      <c r="AB690" s="30"/>
      <c r="AP690" s="30"/>
      <c r="BD690" s="30"/>
    </row>
    <row r="691" ht="15.75" customHeight="1">
      <c r="N691" s="30"/>
      <c r="AB691" s="30"/>
      <c r="AP691" s="30"/>
      <c r="BD691" s="30"/>
    </row>
    <row r="692" ht="15.75" customHeight="1">
      <c r="N692" s="30"/>
      <c r="AB692" s="30"/>
      <c r="AP692" s="30"/>
      <c r="BD692" s="30"/>
    </row>
    <row r="693" ht="15.75" customHeight="1">
      <c r="N693" s="30"/>
      <c r="AB693" s="30"/>
      <c r="AP693" s="30"/>
      <c r="BD693" s="30"/>
    </row>
    <row r="694" ht="15.75" customHeight="1">
      <c r="N694" s="30"/>
      <c r="AB694" s="30"/>
      <c r="AP694" s="30"/>
      <c r="BD694" s="30"/>
    </row>
    <row r="695" ht="15.75" customHeight="1">
      <c r="N695" s="30"/>
      <c r="AB695" s="30"/>
      <c r="AP695" s="30"/>
      <c r="BD695" s="30"/>
    </row>
    <row r="696" ht="15.75" customHeight="1">
      <c r="N696" s="30"/>
      <c r="AB696" s="30"/>
      <c r="AP696" s="30"/>
      <c r="BD696" s="30"/>
    </row>
    <row r="697" ht="15.75" customHeight="1">
      <c r="N697" s="30"/>
      <c r="AB697" s="30"/>
      <c r="AP697" s="30"/>
      <c r="BD697" s="30"/>
    </row>
    <row r="698" ht="15.75" customHeight="1">
      <c r="N698" s="30"/>
      <c r="AB698" s="30"/>
      <c r="AP698" s="30"/>
      <c r="BD698" s="30"/>
    </row>
    <row r="699" ht="15.75" customHeight="1">
      <c r="N699" s="30"/>
      <c r="AB699" s="30"/>
      <c r="AP699" s="30"/>
      <c r="BD699" s="30"/>
    </row>
    <row r="700" ht="15.75" customHeight="1">
      <c r="N700" s="30"/>
      <c r="AB700" s="30"/>
      <c r="AP700" s="30"/>
      <c r="BD700" s="30"/>
    </row>
    <row r="701" ht="15.75" customHeight="1">
      <c r="N701" s="30"/>
      <c r="AB701" s="30"/>
      <c r="AP701" s="30"/>
      <c r="BD701" s="30"/>
    </row>
    <row r="702" ht="15.75" customHeight="1">
      <c r="N702" s="30"/>
      <c r="AB702" s="30"/>
      <c r="AP702" s="30"/>
      <c r="BD702" s="30"/>
    </row>
    <row r="703" ht="15.75" customHeight="1">
      <c r="N703" s="30"/>
      <c r="AB703" s="30"/>
      <c r="AP703" s="30"/>
      <c r="BD703" s="30"/>
    </row>
    <row r="704" ht="15.75" customHeight="1">
      <c r="N704" s="30"/>
      <c r="AB704" s="30"/>
      <c r="AP704" s="30"/>
      <c r="BD704" s="30"/>
    </row>
    <row r="705" ht="15.75" customHeight="1">
      <c r="N705" s="30"/>
      <c r="AB705" s="30"/>
      <c r="AP705" s="30"/>
      <c r="BD705" s="30"/>
    </row>
    <row r="706" ht="15.75" customHeight="1">
      <c r="N706" s="30"/>
      <c r="AB706" s="30"/>
      <c r="AP706" s="30"/>
      <c r="BD706" s="30"/>
    </row>
    <row r="707" ht="15.75" customHeight="1">
      <c r="N707" s="30"/>
      <c r="AB707" s="30"/>
      <c r="AP707" s="30"/>
      <c r="BD707" s="30"/>
    </row>
    <row r="708" ht="15.75" customHeight="1">
      <c r="N708" s="30"/>
      <c r="AB708" s="30"/>
      <c r="AP708" s="30"/>
      <c r="BD708" s="30"/>
    </row>
    <row r="709" ht="15.75" customHeight="1">
      <c r="N709" s="30"/>
      <c r="AB709" s="30"/>
      <c r="AP709" s="30"/>
      <c r="BD709" s="30"/>
    </row>
    <row r="710" ht="15.75" customHeight="1">
      <c r="N710" s="30"/>
      <c r="AB710" s="30"/>
      <c r="AP710" s="30"/>
      <c r="BD710" s="30"/>
    </row>
    <row r="711" ht="15.75" customHeight="1">
      <c r="N711" s="30"/>
      <c r="AB711" s="30"/>
      <c r="AP711" s="30"/>
      <c r="BD711" s="30"/>
    </row>
    <row r="712" ht="15.75" customHeight="1">
      <c r="N712" s="30"/>
      <c r="AB712" s="30"/>
      <c r="AP712" s="30"/>
      <c r="BD712" s="30"/>
    </row>
    <row r="713" ht="15.75" customHeight="1">
      <c r="N713" s="30"/>
      <c r="AB713" s="30"/>
      <c r="AP713" s="30"/>
      <c r="BD713" s="30"/>
    </row>
    <row r="714" ht="15.75" customHeight="1">
      <c r="N714" s="30"/>
      <c r="AB714" s="30"/>
      <c r="AP714" s="30"/>
      <c r="BD714" s="30"/>
    </row>
    <row r="715" ht="15.75" customHeight="1">
      <c r="N715" s="30"/>
      <c r="AB715" s="30"/>
      <c r="AP715" s="30"/>
      <c r="BD715" s="30"/>
    </row>
    <row r="716" ht="15.75" customHeight="1">
      <c r="N716" s="30"/>
      <c r="AB716" s="30"/>
      <c r="AP716" s="30"/>
      <c r="BD716" s="30"/>
    </row>
    <row r="717" ht="15.75" customHeight="1">
      <c r="N717" s="30"/>
      <c r="AB717" s="30"/>
      <c r="AP717" s="30"/>
      <c r="BD717" s="30"/>
    </row>
    <row r="718" ht="15.75" customHeight="1">
      <c r="N718" s="30"/>
      <c r="AB718" s="30"/>
      <c r="AP718" s="30"/>
      <c r="BD718" s="30"/>
    </row>
    <row r="719" ht="15.75" customHeight="1">
      <c r="N719" s="30"/>
      <c r="AB719" s="30"/>
      <c r="AP719" s="30"/>
      <c r="BD719" s="30"/>
    </row>
    <row r="720" ht="15.75" customHeight="1">
      <c r="N720" s="30"/>
      <c r="AB720" s="30"/>
      <c r="AP720" s="30"/>
      <c r="BD720" s="30"/>
    </row>
    <row r="721" ht="15.75" customHeight="1">
      <c r="N721" s="30"/>
      <c r="AB721" s="30"/>
      <c r="AP721" s="30"/>
      <c r="BD721" s="30"/>
    </row>
    <row r="722" ht="15.75" customHeight="1">
      <c r="N722" s="30"/>
      <c r="AB722" s="30"/>
      <c r="AP722" s="30"/>
      <c r="BD722" s="30"/>
    </row>
    <row r="723" ht="15.75" customHeight="1">
      <c r="N723" s="30"/>
      <c r="AB723" s="30"/>
      <c r="AP723" s="30"/>
      <c r="BD723" s="30"/>
    </row>
    <row r="724" ht="15.75" customHeight="1">
      <c r="N724" s="30"/>
      <c r="AB724" s="30"/>
      <c r="AP724" s="30"/>
      <c r="BD724" s="30"/>
    </row>
    <row r="725" ht="15.75" customHeight="1">
      <c r="N725" s="30"/>
      <c r="AB725" s="30"/>
      <c r="AP725" s="30"/>
      <c r="BD725" s="30"/>
    </row>
    <row r="726" ht="15.75" customHeight="1">
      <c r="N726" s="30"/>
      <c r="AB726" s="30"/>
      <c r="AP726" s="30"/>
      <c r="BD726" s="30"/>
    </row>
    <row r="727" ht="15.75" customHeight="1">
      <c r="N727" s="30"/>
      <c r="AB727" s="30"/>
      <c r="AP727" s="30"/>
      <c r="BD727" s="30"/>
    </row>
    <row r="728" ht="15.75" customHeight="1">
      <c r="N728" s="30"/>
      <c r="AB728" s="30"/>
      <c r="AP728" s="30"/>
      <c r="BD728" s="30"/>
    </row>
    <row r="729" ht="15.75" customHeight="1">
      <c r="N729" s="30"/>
      <c r="AB729" s="30"/>
      <c r="AP729" s="30"/>
      <c r="BD729" s="30"/>
    </row>
    <row r="730" ht="15.75" customHeight="1">
      <c r="N730" s="30"/>
      <c r="AB730" s="30"/>
      <c r="AP730" s="30"/>
      <c r="BD730" s="30"/>
    </row>
    <row r="731" ht="15.75" customHeight="1">
      <c r="N731" s="30"/>
      <c r="AB731" s="30"/>
      <c r="AP731" s="30"/>
      <c r="BD731" s="30"/>
    </row>
    <row r="732" ht="15.75" customHeight="1">
      <c r="N732" s="30"/>
      <c r="AB732" s="30"/>
      <c r="AP732" s="30"/>
      <c r="BD732" s="30"/>
    </row>
    <row r="733" ht="15.75" customHeight="1">
      <c r="N733" s="30"/>
      <c r="AB733" s="30"/>
      <c r="AP733" s="30"/>
      <c r="BD733" s="30"/>
    </row>
    <row r="734" ht="15.75" customHeight="1">
      <c r="N734" s="30"/>
      <c r="AB734" s="30"/>
      <c r="AP734" s="30"/>
      <c r="BD734" s="30"/>
    </row>
    <row r="735" ht="15.75" customHeight="1">
      <c r="N735" s="30"/>
      <c r="AB735" s="30"/>
      <c r="AP735" s="30"/>
      <c r="BD735" s="30"/>
    </row>
    <row r="736" ht="15.75" customHeight="1">
      <c r="N736" s="30"/>
      <c r="AB736" s="30"/>
      <c r="AP736" s="30"/>
      <c r="BD736" s="30"/>
    </row>
    <row r="737" ht="15.75" customHeight="1">
      <c r="N737" s="30"/>
      <c r="AB737" s="30"/>
      <c r="AP737" s="30"/>
      <c r="BD737" s="30"/>
    </row>
    <row r="738" ht="15.75" customHeight="1">
      <c r="N738" s="30"/>
      <c r="AB738" s="30"/>
      <c r="AP738" s="30"/>
      <c r="BD738" s="30"/>
    </row>
    <row r="739" ht="15.75" customHeight="1">
      <c r="N739" s="30"/>
      <c r="AB739" s="30"/>
      <c r="AP739" s="30"/>
      <c r="BD739" s="30"/>
    </row>
    <row r="740" ht="15.75" customHeight="1">
      <c r="N740" s="30"/>
      <c r="AB740" s="30"/>
      <c r="AP740" s="30"/>
      <c r="BD740" s="30"/>
    </row>
    <row r="741" ht="15.75" customHeight="1">
      <c r="N741" s="30"/>
      <c r="AB741" s="30"/>
      <c r="AP741" s="30"/>
      <c r="BD741" s="30"/>
    </row>
    <row r="742" ht="15.75" customHeight="1">
      <c r="N742" s="30"/>
      <c r="AB742" s="30"/>
      <c r="AP742" s="30"/>
      <c r="BD742" s="30"/>
    </row>
    <row r="743" ht="15.75" customHeight="1">
      <c r="N743" s="30"/>
      <c r="AB743" s="30"/>
      <c r="AP743" s="30"/>
      <c r="BD743" s="30"/>
    </row>
    <row r="744" ht="15.75" customHeight="1">
      <c r="N744" s="30"/>
      <c r="AB744" s="30"/>
      <c r="AP744" s="30"/>
      <c r="BD744" s="30"/>
    </row>
    <row r="745" ht="15.75" customHeight="1">
      <c r="N745" s="30"/>
      <c r="AB745" s="30"/>
      <c r="AP745" s="30"/>
      <c r="BD745" s="30"/>
    </row>
    <row r="746" ht="15.75" customHeight="1">
      <c r="N746" s="30"/>
      <c r="AB746" s="30"/>
      <c r="AP746" s="30"/>
      <c r="BD746" s="30"/>
    </row>
    <row r="747" ht="15.75" customHeight="1">
      <c r="N747" s="30"/>
      <c r="AB747" s="30"/>
      <c r="AP747" s="30"/>
      <c r="BD747" s="30"/>
    </row>
    <row r="748" ht="15.75" customHeight="1">
      <c r="N748" s="30"/>
      <c r="AB748" s="30"/>
      <c r="AP748" s="30"/>
      <c r="BD748" s="30"/>
    </row>
    <row r="749" ht="15.75" customHeight="1">
      <c r="N749" s="30"/>
      <c r="AB749" s="30"/>
      <c r="AP749" s="30"/>
      <c r="BD749" s="30"/>
    </row>
    <row r="750" ht="15.75" customHeight="1">
      <c r="N750" s="30"/>
      <c r="AB750" s="30"/>
      <c r="AP750" s="30"/>
      <c r="BD750" s="30"/>
    </row>
    <row r="751" ht="15.75" customHeight="1">
      <c r="N751" s="30"/>
      <c r="AB751" s="30"/>
      <c r="AP751" s="30"/>
      <c r="BD751" s="30"/>
    </row>
    <row r="752" ht="15.75" customHeight="1">
      <c r="N752" s="30"/>
      <c r="AB752" s="30"/>
      <c r="AP752" s="30"/>
      <c r="BD752" s="30"/>
    </row>
    <row r="753" ht="15.75" customHeight="1">
      <c r="N753" s="30"/>
      <c r="AB753" s="30"/>
      <c r="AP753" s="30"/>
      <c r="BD753" s="30"/>
    </row>
    <row r="754" ht="15.75" customHeight="1">
      <c r="N754" s="30"/>
      <c r="AB754" s="30"/>
      <c r="AP754" s="30"/>
      <c r="BD754" s="30"/>
    </row>
    <row r="755" ht="15.75" customHeight="1">
      <c r="N755" s="30"/>
      <c r="AB755" s="30"/>
      <c r="AP755" s="30"/>
      <c r="BD755" s="30"/>
    </row>
    <row r="756" ht="15.75" customHeight="1">
      <c r="N756" s="30"/>
      <c r="AB756" s="30"/>
      <c r="AP756" s="30"/>
      <c r="BD756" s="30"/>
    </row>
    <row r="757" ht="15.75" customHeight="1">
      <c r="N757" s="30"/>
      <c r="AB757" s="30"/>
      <c r="AP757" s="30"/>
      <c r="BD757" s="30"/>
    </row>
    <row r="758" ht="15.75" customHeight="1">
      <c r="N758" s="30"/>
      <c r="AB758" s="30"/>
      <c r="AP758" s="30"/>
      <c r="BD758" s="30"/>
    </row>
    <row r="759" ht="15.75" customHeight="1">
      <c r="N759" s="30"/>
      <c r="AB759" s="30"/>
      <c r="AP759" s="30"/>
      <c r="BD759" s="30"/>
    </row>
    <row r="760" ht="15.75" customHeight="1">
      <c r="N760" s="30"/>
      <c r="AB760" s="30"/>
      <c r="AP760" s="30"/>
      <c r="BD760" s="30"/>
    </row>
    <row r="761" ht="15.75" customHeight="1">
      <c r="N761" s="30"/>
      <c r="AB761" s="30"/>
      <c r="AP761" s="30"/>
      <c r="BD761" s="30"/>
    </row>
    <row r="762" ht="15.75" customHeight="1">
      <c r="N762" s="30"/>
      <c r="AB762" s="30"/>
      <c r="AP762" s="30"/>
      <c r="BD762" s="30"/>
    </row>
    <row r="763" ht="15.75" customHeight="1">
      <c r="N763" s="30"/>
      <c r="AB763" s="30"/>
      <c r="AP763" s="30"/>
      <c r="BD763" s="30"/>
    </row>
    <row r="764" ht="15.75" customHeight="1">
      <c r="N764" s="30"/>
      <c r="AB764" s="30"/>
      <c r="AP764" s="30"/>
      <c r="BD764" s="30"/>
    </row>
    <row r="765" ht="15.75" customHeight="1">
      <c r="N765" s="30"/>
      <c r="AB765" s="30"/>
      <c r="AP765" s="30"/>
      <c r="BD765" s="30"/>
    </row>
    <row r="766" ht="15.75" customHeight="1">
      <c r="N766" s="30"/>
      <c r="AB766" s="30"/>
      <c r="AP766" s="30"/>
      <c r="BD766" s="30"/>
    </row>
    <row r="767" ht="15.75" customHeight="1">
      <c r="N767" s="30"/>
      <c r="AB767" s="30"/>
      <c r="AP767" s="30"/>
      <c r="BD767" s="30"/>
    </row>
    <row r="768" ht="15.75" customHeight="1">
      <c r="N768" s="30"/>
      <c r="AB768" s="30"/>
      <c r="AP768" s="30"/>
      <c r="BD768" s="30"/>
    </row>
    <row r="769" ht="15.75" customHeight="1">
      <c r="N769" s="30"/>
      <c r="AB769" s="30"/>
      <c r="AP769" s="30"/>
      <c r="BD769" s="30"/>
    </row>
    <row r="770" ht="15.75" customHeight="1">
      <c r="N770" s="30"/>
      <c r="AB770" s="30"/>
      <c r="AP770" s="30"/>
      <c r="BD770" s="30"/>
    </row>
    <row r="771" ht="15.75" customHeight="1">
      <c r="N771" s="30"/>
      <c r="AB771" s="30"/>
      <c r="AP771" s="30"/>
      <c r="BD771" s="30"/>
    </row>
    <row r="772" ht="15.75" customHeight="1">
      <c r="N772" s="30"/>
      <c r="AB772" s="30"/>
      <c r="AP772" s="30"/>
      <c r="BD772" s="30"/>
    </row>
    <row r="773" ht="15.75" customHeight="1">
      <c r="N773" s="30"/>
      <c r="AB773" s="30"/>
      <c r="AP773" s="30"/>
      <c r="BD773" s="30"/>
    </row>
    <row r="774" ht="15.75" customHeight="1">
      <c r="N774" s="30"/>
      <c r="AB774" s="30"/>
      <c r="AP774" s="30"/>
      <c r="BD774" s="30"/>
    </row>
    <row r="775" ht="15.75" customHeight="1">
      <c r="N775" s="30"/>
      <c r="AB775" s="30"/>
      <c r="AP775" s="30"/>
      <c r="BD775" s="30"/>
    </row>
    <row r="776" ht="15.75" customHeight="1">
      <c r="N776" s="30"/>
      <c r="AB776" s="30"/>
      <c r="AP776" s="30"/>
      <c r="BD776" s="30"/>
    </row>
    <row r="777" ht="15.75" customHeight="1">
      <c r="N777" s="30"/>
      <c r="AB777" s="30"/>
      <c r="AP777" s="30"/>
      <c r="BD777" s="30"/>
    </row>
    <row r="778" ht="15.75" customHeight="1">
      <c r="N778" s="30"/>
      <c r="AB778" s="30"/>
      <c r="AP778" s="30"/>
      <c r="BD778" s="30"/>
    </row>
    <row r="779" ht="15.75" customHeight="1">
      <c r="N779" s="30"/>
      <c r="AB779" s="30"/>
      <c r="AP779" s="30"/>
      <c r="BD779" s="30"/>
    </row>
    <row r="780" ht="15.75" customHeight="1">
      <c r="N780" s="30"/>
      <c r="AB780" s="30"/>
      <c r="AP780" s="30"/>
      <c r="BD780" s="30"/>
    </row>
    <row r="781" ht="15.75" customHeight="1">
      <c r="N781" s="30"/>
      <c r="AB781" s="30"/>
      <c r="AP781" s="30"/>
      <c r="BD781" s="30"/>
    </row>
    <row r="782" ht="15.75" customHeight="1">
      <c r="N782" s="30"/>
      <c r="AB782" s="30"/>
      <c r="AP782" s="30"/>
      <c r="BD782" s="30"/>
    </row>
    <row r="783" ht="15.75" customHeight="1">
      <c r="N783" s="30"/>
      <c r="AB783" s="30"/>
      <c r="AP783" s="30"/>
      <c r="BD783" s="30"/>
    </row>
    <row r="784" ht="15.75" customHeight="1">
      <c r="N784" s="30"/>
      <c r="AB784" s="30"/>
      <c r="AP784" s="30"/>
      <c r="BD784" s="30"/>
    </row>
    <row r="785" ht="15.75" customHeight="1">
      <c r="N785" s="30"/>
      <c r="AB785" s="30"/>
      <c r="AP785" s="30"/>
      <c r="BD785" s="30"/>
    </row>
    <row r="786" ht="15.75" customHeight="1">
      <c r="N786" s="30"/>
      <c r="AB786" s="30"/>
      <c r="AP786" s="30"/>
      <c r="BD786" s="30"/>
    </row>
    <row r="787" ht="15.75" customHeight="1">
      <c r="N787" s="30"/>
      <c r="AB787" s="30"/>
      <c r="AP787" s="30"/>
      <c r="BD787" s="30"/>
    </row>
    <row r="788" ht="15.75" customHeight="1">
      <c r="N788" s="30"/>
      <c r="AB788" s="30"/>
      <c r="AP788" s="30"/>
      <c r="BD788" s="30"/>
    </row>
    <row r="789" ht="15.75" customHeight="1">
      <c r="N789" s="30"/>
      <c r="AB789" s="30"/>
      <c r="AP789" s="30"/>
      <c r="BD789" s="30"/>
    </row>
    <row r="790" ht="15.75" customHeight="1">
      <c r="N790" s="30"/>
      <c r="AB790" s="30"/>
      <c r="AP790" s="30"/>
      <c r="BD790" s="30"/>
    </row>
    <row r="791" ht="15.75" customHeight="1">
      <c r="N791" s="30"/>
      <c r="AB791" s="30"/>
      <c r="AP791" s="30"/>
      <c r="BD791" s="30"/>
    </row>
    <row r="792" ht="15.75" customHeight="1">
      <c r="N792" s="30"/>
      <c r="AB792" s="30"/>
      <c r="AP792" s="30"/>
      <c r="BD792" s="30"/>
    </row>
    <row r="793" ht="15.75" customHeight="1">
      <c r="N793" s="30"/>
      <c r="AB793" s="30"/>
      <c r="AP793" s="30"/>
      <c r="BD793" s="30"/>
    </row>
    <row r="794" ht="15.75" customHeight="1">
      <c r="N794" s="30"/>
      <c r="AB794" s="30"/>
      <c r="AP794" s="30"/>
      <c r="BD794" s="30"/>
    </row>
    <row r="795" ht="15.75" customHeight="1">
      <c r="N795" s="30"/>
      <c r="AB795" s="30"/>
      <c r="AP795" s="30"/>
      <c r="BD795" s="30"/>
    </row>
    <row r="796" ht="15.75" customHeight="1">
      <c r="N796" s="30"/>
      <c r="AB796" s="30"/>
      <c r="AP796" s="30"/>
      <c r="BD796" s="30"/>
    </row>
    <row r="797" ht="15.75" customHeight="1">
      <c r="N797" s="30"/>
      <c r="AB797" s="30"/>
      <c r="AP797" s="30"/>
      <c r="BD797" s="30"/>
    </row>
    <row r="798" ht="15.75" customHeight="1">
      <c r="N798" s="30"/>
      <c r="AB798" s="30"/>
      <c r="AP798" s="30"/>
      <c r="BD798" s="30"/>
    </row>
    <row r="799" ht="15.75" customHeight="1">
      <c r="N799" s="30"/>
      <c r="AB799" s="30"/>
      <c r="AP799" s="30"/>
      <c r="BD799" s="30"/>
    </row>
    <row r="800" ht="15.75" customHeight="1">
      <c r="N800" s="30"/>
      <c r="AB800" s="30"/>
      <c r="AP800" s="30"/>
      <c r="BD800" s="30"/>
    </row>
    <row r="801" ht="15.75" customHeight="1">
      <c r="N801" s="30"/>
      <c r="AB801" s="30"/>
      <c r="AP801" s="30"/>
      <c r="BD801" s="30"/>
    </row>
    <row r="802" ht="15.75" customHeight="1">
      <c r="N802" s="30"/>
      <c r="AB802" s="30"/>
      <c r="AP802" s="30"/>
      <c r="BD802" s="30"/>
    </row>
    <row r="803" ht="15.75" customHeight="1">
      <c r="N803" s="30"/>
      <c r="AB803" s="30"/>
      <c r="AP803" s="30"/>
      <c r="BD803" s="30"/>
    </row>
    <row r="804" ht="15.75" customHeight="1">
      <c r="N804" s="30"/>
      <c r="AB804" s="30"/>
      <c r="AP804" s="30"/>
      <c r="BD804" s="30"/>
    </row>
    <row r="805" ht="15.75" customHeight="1">
      <c r="N805" s="30"/>
      <c r="AB805" s="30"/>
      <c r="AP805" s="30"/>
      <c r="BD805" s="30"/>
    </row>
    <row r="806" ht="15.75" customHeight="1">
      <c r="N806" s="30"/>
      <c r="AB806" s="30"/>
      <c r="AP806" s="30"/>
      <c r="BD806" s="30"/>
    </row>
    <row r="807" ht="15.75" customHeight="1">
      <c r="N807" s="30"/>
      <c r="AB807" s="30"/>
      <c r="AP807" s="30"/>
      <c r="BD807" s="30"/>
    </row>
    <row r="808" ht="15.75" customHeight="1">
      <c r="N808" s="30"/>
      <c r="AB808" s="30"/>
      <c r="AP808" s="30"/>
      <c r="BD808" s="30"/>
    </row>
    <row r="809" ht="15.75" customHeight="1">
      <c r="N809" s="30"/>
      <c r="AB809" s="30"/>
      <c r="AP809" s="30"/>
      <c r="BD809" s="30"/>
    </row>
    <row r="810" ht="15.75" customHeight="1">
      <c r="N810" s="30"/>
      <c r="AB810" s="30"/>
      <c r="AP810" s="30"/>
      <c r="BD810" s="30"/>
    </row>
    <row r="811" ht="15.75" customHeight="1">
      <c r="N811" s="30"/>
      <c r="AB811" s="30"/>
      <c r="AP811" s="30"/>
      <c r="BD811" s="30"/>
    </row>
    <row r="812" ht="15.75" customHeight="1">
      <c r="N812" s="30"/>
      <c r="AB812" s="30"/>
      <c r="AP812" s="30"/>
      <c r="BD812" s="30"/>
    </row>
    <row r="813" ht="15.75" customHeight="1">
      <c r="N813" s="30"/>
      <c r="AB813" s="30"/>
      <c r="AP813" s="30"/>
      <c r="BD813" s="30"/>
    </row>
    <row r="814" ht="15.75" customHeight="1">
      <c r="N814" s="30"/>
      <c r="AB814" s="30"/>
      <c r="AP814" s="30"/>
      <c r="BD814" s="30"/>
    </row>
    <row r="815" ht="15.75" customHeight="1">
      <c r="N815" s="30"/>
      <c r="AB815" s="30"/>
      <c r="AP815" s="30"/>
      <c r="BD815" s="30"/>
    </row>
    <row r="816" ht="15.75" customHeight="1">
      <c r="N816" s="30"/>
      <c r="AB816" s="30"/>
      <c r="AP816" s="30"/>
      <c r="BD816" s="30"/>
    </row>
    <row r="817" ht="15.75" customHeight="1">
      <c r="N817" s="30"/>
      <c r="AB817" s="30"/>
      <c r="AP817" s="30"/>
      <c r="BD817" s="30"/>
    </row>
    <row r="818" ht="15.75" customHeight="1">
      <c r="N818" s="30"/>
      <c r="AB818" s="30"/>
      <c r="AP818" s="30"/>
      <c r="BD818" s="30"/>
    </row>
    <row r="819" ht="15.75" customHeight="1">
      <c r="N819" s="30"/>
      <c r="AB819" s="30"/>
      <c r="AP819" s="30"/>
      <c r="BD819" s="30"/>
    </row>
    <row r="820" ht="15.75" customHeight="1">
      <c r="N820" s="30"/>
      <c r="AB820" s="30"/>
      <c r="AP820" s="30"/>
      <c r="BD820" s="30"/>
    </row>
    <row r="821" ht="15.75" customHeight="1">
      <c r="N821" s="30"/>
      <c r="AB821" s="30"/>
      <c r="AP821" s="30"/>
      <c r="BD821" s="30"/>
    </row>
    <row r="822" ht="15.75" customHeight="1">
      <c r="N822" s="30"/>
      <c r="AB822" s="30"/>
      <c r="AP822" s="30"/>
      <c r="BD822" s="30"/>
    </row>
    <row r="823" ht="15.75" customHeight="1">
      <c r="N823" s="30"/>
      <c r="AB823" s="30"/>
      <c r="AP823" s="30"/>
      <c r="BD823" s="30"/>
    </row>
    <row r="824" ht="15.75" customHeight="1">
      <c r="N824" s="30"/>
      <c r="AB824" s="30"/>
      <c r="AP824" s="30"/>
      <c r="BD824" s="30"/>
    </row>
    <row r="825" ht="15.75" customHeight="1">
      <c r="N825" s="30"/>
      <c r="AB825" s="30"/>
      <c r="AP825" s="30"/>
      <c r="BD825" s="30"/>
    </row>
    <row r="826" ht="15.75" customHeight="1">
      <c r="N826" s="30"/>
      <c r="AB826" s="30"/>
      <c r="AP826" s="30"/>
      <c r="BD826" s="30"/>
    </row>
    <row r="827" ht="15.75" customHeight="1">
      <c r="N827" s="30"/>
      <c r="AB827" s="30"/>
      <c r="AP827" s="30"/>
      <c r="BD827" s="30"/>
    </row>
    <row r="828" ht="15.75" customHeight="1">
      <c r="N828" s="30"/>
      <c r="AB828" s="30"/>
      <c r="AP828" s="30"/>
      <c r="BD828" s="30"/>
    </row>
    <row r="829" ht="15.75" customHeight="1">
      <c r="N829" s="30"/>
      <c r="AB829" s="30"/>
      <c r="AP829" s="30"/>
      <c r="BD829" s="30"/>
    </row>
    <row r="830" ht="15.75" customHeight="1">
      <c r="N830" s="30"/>
      <c r="AB830" s="30"/>
      <c r="AP830" s="30"/>
      <c r="BD830" s="30"/>
    </row>
    <row r="831" ht="15.75" customHeight="1">
      <c r="N831" s="30"/>
      <c r="AB831" s="30"/>
      <c r="AP831" s="30"/>
      <c r="BD831" s="30"/>
    </row>
    <row r="832" ht="15.75" customHeight="1">
      <c r="N832" s="30"/>
      <c r="AB832" s="30"/>
      <c r="AP832" s="30"/>
      <c r="BD832" s="30"/>
    </row>
    <row r="833" ht="15.75" customHeight="1">
      <c r="N833" s="30"/>
      <c r="AB833" s="30"/>
      <c r="AP833" s="30"/>
      <c r="BD833" s="30"/>
    </row>
    <row r="834" ht="15.75" customHeight="1">
      <c r="N834" s="30"/>
      <c r="AB834" s="30"/>
      <c r="AP834" s="30"/>
      <c r="BD834" s="30"/>
    </row>
    <row r="835" ht="15.75" customHeight="1">
      <c r="N835" s="30"/>
      <c r="AB835" s="30"/>
      <c r="AP835" s="30"/>
      <c r="BD835" s="30"/>
    </row>
    <row r="836" ht="15.75" customHeight="1">
      <c r="N836" s="30"/>
      <c r="AB836" s="30"/>
      <c r="AP836" s="30"/>
      <c r="BD836" s="30"/>
    </row>
    <row r="837" ht="15.75" customHeight="1">
      <c r="N837" s="30"/>
      <c r="AB837" s="30"/>
      <c r="AP837" s="30"/>
      <c r="BD837" s="30"/>
    </row>
    <row r="838" ht="15.75" customHeight="1">
      <c r="N838" s="30"/>
      <c r="AB838" s="30"/>
      <c r="AP838" s="30"/>
      <c r="BD838" s="30"/>
    </row>
    <row r="839" ht="15.75" customHeight="1">
      <c r="N839" s="30"/>
      <c r="AB839" s="30"/>
      <c r="AP839" s="30"/>
      <c r="BD839" s="30"/>
    </row>
    <row r="840" ht="15.75" customHeight="1">
      <c r="N840" s="30"/>
      <c r="AB840" s="30"/>
      <c r="AP840" s="30"/>
      <c r="BD840" s="30"/>
    </row>
    <row r="841" ht="15.75" customHeight="1">
      <c r="N841" s="30"/>
      <c r="AB841" s="30"/>
      <c r="AP841" s="30"/>
      <c r="BD841" s="30"/>
    </row>
    <row r="842" ht="15.75" customHeight="1">
      <c r="N842" s="30"/>
      <c r="AB842" s="30"/>
      <c r="AP842" s="30"/>
      <c r="BD842" s="30"/>
    </row>
    <row r="843" ht="15.75" customHeight="1">
      <c r="N843" s="30"/>
      <c r="AB843" s="30"/>
      <c r="AP843" s="30"/>
      <c r="BD843" s="30"/>
    </row>
    <row r="844" ht="15.75" customHeight="1">
      <c r="N844" s="30"/>
      <c r="AB844" s="30"/>
      <c r="AP844" s="30"/>
      <c r="BD844" s="30"/>
    </row>
    <row r="845" ht="15.75" customHeight="1">
      <c r="N845" s="30"/>
      <c r="AB845" s="30"/>
      <c r="AP845" s="30"/>
      <c r="BD845" s="30"/>
    </row>
    <row r="846" ht="15.75" customHeight="1">
      <c r="N846" s="30"/>
      <c r="AB846" s="30"/>
      <c r="AP846" s="30"/>
      <c r="BD846" s="30"/>
    </row>
    <row r="847" ht="15.75" customHeight="1">
      <c r="N847" s="30"/>
      <c r="AB847" s="30"/>
      <c r="AP847" s="30"/>
      <c r="BD847" s="30"/>
    </row>
    <row r="848" ht="15.75" customHeight="1">
      <c r="N848" s="30"/>
      <c r="AB848" s="30"/>
      <c r="AP848" s="30"/>
      <c r="BD848" s="30"/>
    </row>
    <row r="849" ht="15.75" customHeight="1">
      <c r="N849" s="30"/>
      <c r="AB849" s="30"/>
      <c r="AP849" s="30"/>
      <c r="BD849" s="30"/>
    </row>
    <row r="850" ht="15.75" customHeight="1">
      <c r="N850" s="30"/>
      <c r="AB850" s="30"/>
      <c r="AP850" s="30"/>
      <c r="BD850" s="30"/>
    </row>
    <row r="851" ht="15.75" customHeight="1">
      <c r="N851" s="30"/>
      <c r="AB851" s="30"/>
      <c r="AP851" s="30"/>
      <c r="BD851" s="30"/>
    </row>
    <row r="852" ht="15.75" customHeight="1">
      <c r="N852" s="30"/>
      <c r="AB852" s="30"/>
      <c r="AP852" s="30"/>
      <c r="BD852" s="30"/>
    </row>
    <row r="853" ht="15.75" customHeight="1">
      <c r="N853" s="30"/>
      <c r="AB853" s="30"/>
      <c r="AP853" s="30"/>
      <c r="BD853" s="30"/>
    </row>
    <row r="854" ht="15.75" customHeight="1">
      <c r="N854" s="30"/>
      <c r="AB854" s="30"/>
      <c r="AP854" s="30"/>
      <c r="BD854" s="30"/>
    </row>
    <row r="855" ht="15.75" customHeight="1">
      <c r="N855" s="30"/>
      <c r="AB855" s="30"/>
      <c r="AP855" s="30"/>
      <c r="BD855" s="30"/>
    </row>
    <row r="856" ht="15.75" customHeight="1">
      <c r="N856" s="30"/>
      <c r="AB856" s="30"/>
      <c r="AP856" s="30"/>
      <c r="BD856" s="30"/>
    </row>
    <row r="857" ht="15.75" customHeight="1">
      <c r="N857" s="30"/>
      <c r="AB857" s="30"/>
      <c r="AP857" s="30"/>
      <c r="BD857" s="30"/>
    </row>
    <row r="858" ht="15.75" customHeight="1">
      <c r="N858" s="30"/>
      <c r="AB858" s="30"/>
      <c r="AP858" s="30"/>
      <c r="BD858" s="30"/>
    </row>
    <row r="859" ht="15.75" customHeight="1">
      <c r="N859" s="30"/>
      <c r="AB859" s="30"/>
      <c r="AP859" s="30"/>
      <c r="BD859" s="30"/>
    </row>
    <row r="860" ht="15.75" customHeight="1">
      <c r="N860" s="30"/>
      <c r="AB860" s="30"/>
      <c r="AP860" s="30"/>
      <c r="BD860" s="30"/>
    </row>
    <row r="861" ht="15.75" customHeight="1">
      <c r="N861" s="30"/>
      <c r="AB861" s="30"/>
      <c r="AP861" s="30"/>
      <c r="BD861" s="30"/>
    </row>
    <row r="862" ht="15.75" customHeight="1">
      <c r="N862" s="30"/>
      <c r="AB862" s="30"/>
      <c r="AP862" s="30"/>
      <c r="BD862" s="30"/>
    </row>
    <row r="863" ht="15.75" customHeight="1">
      <c r="N863" s="30"/>
      <c r="AB863" s="30"/>
      <c r="AP863" s="30"/>
      <c r="BD863" s="30"/>
    </row>
    <row r="864" ht="15.75" customHeight="1">
      <c r="N864" s="30"/>
      <c r="AB864" s="30"/>
      <c r="AP864" s="30"/>
      <c r="BD864" s="30"/>
    </row>
    <row r="865" ht="15.75" customHeight="1">
      <c r="N865" s="30"/>
      <c r="AB865" s="30"/>
      <c r="AP865" s="30"/>
      <c r="BD865" s="30"/>
    </row>
    <row r="866" ht="15.75" customHeight="1">
      <c r="N866" s="30"/>
      <c r="AB866" s="30"/>
      <c r="AP866" s="30"/>
      <c r="BD866" s="30"/>
    </row>
    <row r="867" ht="15.75" customHeight="1">
      <c r="N867" s="30"/>
      <c r="AB867" s="30"/>
      <c r="AP867" s="30"/>
      <c r="BD867" s="30"/>
    </row>
    <row r="868" ht="15.75" customHeight="1">
      <c r="N868" s="30"/>
      <c r="AB868" s="30"/>
      <c r="AP868" s="30"/>
      <c r="BD868" s="30"/>
    </row>
    <row r="869" ht="15.75" customHeight="1">
      <c r="N869" s="30"/>
      <c r="AB869" s="30"/>
      <c r="AP869" s="30"/>
      <c r="BD869" s="30"/>
    </row>
    <row r="870" ht="15.75" customHeight="1">
      <c r="N870" s="30"/>
      <c r="AB870" s="30"/>
      <c r="AP870" s="30"/>
      <c r="BD870" s="30"/>
    </row>
    <row r="871" ht="15.75" customHeight="1">
      <c r="N871" s="30"/>
      <c r="AB871" s="30"/>
      <c r="AP871" s="30"/>
      <c r="BD871" s="30"/>
    </row>
    <row r="872" ht="15.75" customHeight="1">
      <c r="N872" s="30"/>
      <c r="AB872" s="30"/>
      <c r="AP872" s="30"/>
      <c r="BD872" s="30"/>
    </row>
    <row r="873" ht="15.75" customHeight="1">
      <c r="N873" s="30"/>
      <c r="AB873" s="30"/>
      <c r="AP873" s="30"/>
      <c r="BD873" s="30"/>
    </row>
    <row r="874" ht="15.75" customHeight="1">
      <c r="N874" s="30"/>
      <c r="AB874" s="30"/>
      <c r="AP874" s="30"/>
      <c r="BD874" s="30"/>
    </row>
    <row r="875" ht="15.75" customHeight="1">
      <c r="N875" s="30"/>
      <c r="AB875" s="30"/>
      <c r="AP875" s="30"/>
      <c r="BD875" s="30"/>
    </row>
    <row r="876" ht="15.75" customHeight="1">
      <c r="N876" s="30"/>
      <c r="AB876" s="30"/>
      <c r="AP876" s="30"/>
      <c r="BD876" s="30"/>
    </row>
    <row r="877" ht="15.75" customHeight="1">
      <c r="N877" s="30"/>
      <c r="AB877" s="30"/>
      <c r="AP877" s="30"/>
      <c r="BD877" s="30"/>
    </row>
    <row r="878" ht="15.75" customHeight="1">
      <c r="N878" s="30"/>
      <c r="AB878" s="30"/>
      <c r="AP878" s="30"/>
      <c r="BD878" s="30"/>
    </row>
    <row r="879" ht="15.75" customHeight="1">
      <c r="N879" s="30"/>
      <c r="AB879" s="30"/>
      <c r="AP879" s="30"/>
      <c r="BD879" s="30"/>
    </row>
    <row r="880" ht="15.75" customHeight="1">
      <c r="N880" s="30"/>
      <c r="AB880" s="30"/>
      <c r="AP880" s="30"/>
      <c r="BD880" s="30"/>
    </row>
    <row r="881" ht="15.75" customHeight="1">
      <c r="N881" s="30"/>
      <c r="AB881" s="30"/>
      <c r="AP881" s="30"/>
      <c r="BD881" s="30"/>
    </row>
    <row r="882" ht="15.75" customHeight="1">
      <c r="N882" s="30"/>
      <c r="AB882" s="30"/>
      <c r="AP882" s="30"/>
      <c r="BD882" s="30"/>
    </row>
    <row r="883" ht="15.75" customHeight="1">
      <c r="N883" s="30"/>
      <c r="AB883" s="30"/>
      <c r="AP883" s="30"/>
      <c r="BD883" s="30"/>
    </row>
    <row r="884" ht="15.75" customHeight="1">
      <c r="N884" s="30"/>
      <c r="AB884" s="30"/>
      <c r="AP884" s="30"/>
      <c r="BD884" s="30"/>
    </row>
    <row r="885" ht="15.75" customHeight="1">
      <c r="N885" s="30"/>
      <c r="AB885" s="30"/>
      <c r="AP885" s="30"/>
      <c r="BD885" s="30"/>
    </row>
    <row r="886" ht="15.75" customHeight="1">
      <c r="N886" s="30"/>
      <c r="AB886" s="30"/>
      <c r="AP886" s="30"/>
      <c r="BD886" s="30"/>
    </row>
    <row r="887" ht="15.75" customHeight="1">
      <c r="N887" s="30"/>
      <c r="AB887" s="30"/>
      <c r="AP887" s="30"/>
      <c r="BD887" s="30"/>
    </row>
    <row r="888" ht="15.75" customHeight="1">
      <c r="N888" s="30"/>
      <c r="AB888" s="30"/>
      <c r="AP888" s="30"/>
      <c r="BD888" s="30"/>
    </row>
    <row r="889" ht="15.75" customHeight="1">
      <c r="N889" s="30"/>
      <c r="AB889" s="30"/>
      <c r="AP889" s="30"/>
      <c r="BD889" s="30"/>
    </row>
    <row r="890" ht="15.75" customHeight="1">
      <c r="N890" s="30"/>
      <c r="AB890" s="30"/>
      <c r="AP890" s="30"/>
      <c r="BD890" s="30"/>
    </row>
    <row r="891" ht="15.75" customHeight="1">
      <c r="N891" s="30"/>
      <c r="AB891" s="30"/>
      <c r="AP891" s="30"/>
      <c r="BD891" s="30"/>
    </row>
    <row r="892" ht="15.75" customHeight="1">
      <c r="N892" s="30"/>
      <c r="AB892" s="30"/>
      <c r="AP892" s="30"/>
      <c r="BD892" s="30"/>
    </row>
    <row r="893" ht="15.75" customHeight="1">
      <c r="N893" s="30"/>
      <c r="AB893" s="30"/>
      <c r="AP893" s="30"/>
      <c r="BD893" s="30"/>
    </row>
    <row r="894" ht="15.75" customHeight="1">
      <c r="N894" s="30"/>
      <c r="AB894" s="30"/>
      <c r="AP894" s="30"/>
      <c r="BD894" s="30"/>
    </row>
    <row r="895" ht="15.75" customHeight="1">
      <c r="N895" s="30"/>
      <c r="AB895" s="30"/>
      <c r="AP895" s="30"/>
      <c r="BD895" s="30"/>
    </row>
    <row r="896" ht="15.75" customHeight="1">
      <c r="N896" s="30"/>
      <c r="AB896" s="30"/>
      <c r="AP896" s="30"/>
      <c r="BD896" s="30"/>
    </row>
    <row r="897" ht="15.75" customHeight="1">
      <c r="N897" s="30"/>
      <c r="AB897" s="30"/>
      <c r="AP897" s="30"/>
      <c r="BD897" s="30"/>
    </row>
    <row r="898" ht="15.75" customHeight="1">
      <c r="N898" s="30"/>
      <c r="AB898" s="30"/>
      <c r="AP898" s="30"/>
      <c r="BD898" s="30"/>
    </row>
    <row r="899" ht="15.75" customHeight="1">
      <c r="N899" s="30"/>
      <c r="AB899" s="30"/>
      <c r="AP899" s="30"/>
      <c r="BD899" s="30"/>
    </row>
    <row r="900" ht="15.75" customHeight="1">
      <c r="N900" s="30"/>
      <c r="AB900" s="30"/>
      <c r="AP900" s="30"/>
      <c r="BD900" s="30"/>
    </row>
    <row r="901" ht="15.75" customHeight="1">
      <c r="N901" s="30"/>
      <c r="AB901" s="30"/>
      <c r="AP901" s="30"/>
      <c r="BD901" s="30"/>
    </row>
    <row r="902" ht="15.75" customHeight="1">
      <c r="N902" s="30"/>
      <c r="AB902" s="30"/>
      <c r="AP902" s="30"/>
      <c r="BD902" s="30"/>
    </row>
    <row r="903" ht="15.75" customHeight="1">
      <c r="N903" s="30"/>
      <c r="AB903" s="30"/>
      <c r="AP903" s="30"/>
      <c r="BD903" s="30"/>
    </row>
    <row r="904" ht="15.75" customHeight="1">
      <c r="N904" s="30"/>
      <c r="AB904" s="30"/>
      <c r="AP904" s="30"/>
      <c r="BD904" s="30"/>
    </row>
    <row r="905" ht="15.75" customHeight="1">
      <c r="N905" s="30"/>
      <c r="AB905" s="30"/>
      <c r="AP905" s="30"/>
      <c r="BD905" s="30"/>
    </row>
    <row r="906" ht="15.75" customHeight="1">
      <c r="N906" s="30"/>
      <c r="AB906" s="30"/>
      <c r="AP906" s="30"/>
      <c r="BD906" s="30"/>
    </row>
    <row r="907" ht="15.75" customHeight="1">
      <c r="N907" s="30"/>
      <c r="AB907" s="30"/>
      <c r="AP907" s="30"/>
      <c r="BD907" s="30"/>
    </row>
    <row r="908" ht="15.75" customHeight="1">
      <c r="N908" s="30"/>
      <c r="AB908" s="30"/>
      <c r="AP908" s="30"/>
      <c r="BD908" s="30"/>
    </row>
    <row r="909" ht="15.75" customHeight="1">
      <c r="N909" s="30"/>
      <c r="AB909" s="30"/>
      <c r="AP909" s="30"/>
      <c r="BD909" s="30"/>
    </row>
    <row r="910" ht="15.75" customHeight="1">
      <c r="N910" s="30"/>
      <c r="AB910" s="30"/>
      <c r="AP910" s="30"/>
      <c r="BD910" s="30"/>
    </row>
    <row r="911" ht="15.75" customHeight="1">
      <c r="N911" s="30"/>
      <c r="AB911" s="30"/>
      <c r="AP911" s="30"/>
      <c r="BD911" s="30"/>
    </row>
    <row r="912" ht="15.75" customHeight="1">
      <c r="N912" s="30"/>
      <c r="AB912" s="30"/>
      <c r="AP912" s="30"/>
      <c r="BD912" s="30"/>
    </row>
    <row r="913" ht="15.75" customHeight="1">
      <c r="N913" s="30"/>
      <c r="AB913" s="30"/>
      <c r="AP913" s="30"/>
      <c r="BD913" s="30"/>
    </row>
    <row r="914" ht="15.75" customHeight="1">
      <c r="N914" s="30"/>
      <c r="AB914" s="30"/>
      <c r="AP914" s="30"/>
      <c r="BD914" s="30"/>
    </row>
    <row r="915" ht="15.75" customHeight="1">
      <c r="N915" s="30"/>
      <c r="AB915" s="30"/>
      <c r="AP915" s="30"/>
      <c r="BD915" s="30"/>
    </row>
    <row r="916" ht="15.75" customHeight="1">
      <c r="N916" s="30"/>
      <c r="AB916" s="30"/>
      <c r="AP916" s="30"/>
      <c r="BD916" s="30"/>
    </row>
    <row r="917" ht="15.75" customHeight="1">
      <c r="N917" s="30"/>
      <c r="AB917" s="30"/>
      <c r="AP917" s="30"/>
      <c r="BD917" s="30"/>
    </row>
    <row r="918" ht="15.75" customHeight="1">
      <c r="N918" s="30"/>
      <c r="AB918" s="30"/>
      <c r="AP918" s="30"/>
      <c r="BD918" s="30"/>
    </row>
    <row r="919" ht="15.75" customHeight="1">
      <c r="N919" s="30"/>
      <c r="AB919" s="30"/>
      <c r="AP919" s="30"/>
      <c r="BD919" s="30"/>
    </row>
    <row r="920" ht="15.75" customHeight="1">
      <c r="N920" s="30"/>
      <c r="AB920" s="30"/>
      <c r="AP920" s="30"/>
      <c r="BD920" s="30"/>
    </row>
    <row r="921" ht="15.75" customHeight="1">
      <c r="N921" s="30"/>
      <c r="AB921" s="30"/>
      <c r="AP921" s="30"/>
      <c r="BD921" s="30"/>
    </row>
    <row r="922" ht="15.75" customHeight="1">
      <c r="N922" s="30"/>
      <c r="AB922" s="30"/>
      <c r="AP922" s="30"/>
      <c r="BD922" s="30"/>
    </row>
    <row r="923" ht="15.75" customHeight="1">
      <c r="N923" s="30"/>
      <c r="AB923" s="30"/>
      <c r="AP923" s="30"/>
      <c r="BD923" s="30"/>
    </row>
    <row r="924" ht="15.75" customHeight="1">
      <c r="N924" s="30"/>
      <c r="AB924" s="30"/>
      <c r="AP924" s="30"/>
      <c r="BD924" s="30"/>
    </row>
    <row r="925" ht="15.75" customHeight="1">
      <c r="N925" s="30"/>
      <c r="AB925" s="30"/>
      <c r="AP925" s="30"/>
      <c r="BD925" s="30"/>
    </row>
    <row r="926" ht="15.75" customHeight="1">
      <c r="N926" s="30"/>
      <c r="AB926" s="30"/>
      <c r="AP926" s="30"/>
      <c r="BD926" s="30"/>
    </row>
    <row r="927" ht="15.75" customHeight="1">
      <c r="N927" s="30"/>
      <c r="AB927" s="30"/>
      <c r="AP927" s="30"/>
      <c r="BD927" s="30"/>
    </row>
    <row r="928" ht="15.75" customHeight="1">
      <c r="N928" s="30"/>
      <c r="AB928" s="30"/>
      <c r="AP928" s="30"/>
      <c r="BD928" s="30"/>
    </row>
    <row r="929" ht="15.75" customHeight="1">
      <c r="N929" s="30"/>
      <c r="AB929" s="30"/>
      <c r="AP929" s="30"/>
      <c r="BD929" s="30"/>
    </row>
    <row r="930" ht="15.75" customHeight="1">
      <c r="N930" s="30"/>
      <c r="AB930" s="30"/>
      <c r="AP930" s="30"/>
      <c r="BD930" s="30"/>
    </row>
    <row r="931" ht="15.75" customHeight="1">
      <c r="N931" s="30"/>
      <c r="AB931" s="30"/>
      <c r="AP931" s="30"/>
      <c r="BD931" s="30"/>
    </row>
    <row r="932" ht="15.75" customHeight="1">
      <c r="N932" s="30"/>
      <c r="AB932" s="30"/>
      <c r="AP932" s="30"/>
      <c r="BD932" s="30"/>
    </row>
    <row r="933" ht="15.75" customHeight="1">
      <c r="N933" s="30"/>
      <c r="AB933" s="30"/>
      <c r="AP933" s="30"/>
      <c r="BD933" s="30"/>
    </row>
    <row r="934" ht="15.75" customHeight="1">
      <c r="N934" s="30"/>
      <c r="AB934" s="30"/>
      <c r="AP934" s="30"/>
      <c r="BD934" s="30"/>
    </row>
    <row r="935" ht="15.75" customHeight="1">
      <c r="N935" s="30"/>
      <c r="AB935" s="30"/>
      <c r="AP935" s="30"/>
      <c r="BD935" s="30"/>
    </row>
    <row r="936" ht="15.75" customHeight="1">
      <c r="N936" s="30"/>
      <c r="AB936" s="30"/>
      <c r="AP936" s="30"/>
      <c r="BD936" s="30"/>
    </row>
    <row r="937" ht="15.75" customHeight="1">
      <c r="N937" s="30"/>
      <c r="AB937" s="30"/>
      <c r="AP937" s="30"/>
      <c r="BD937" s="30"/>
    </row>
    <row r="938" ht="15.75" customHeight="1">
      <c r="N938" s="30"/>
      <c r="AB938" s="30"/>
      <c r="AP938" s="30"/>
      <c r="BD938" s="30"/>
    </row>
    <row r="939" ht="15.75" customHeight="1">
      <c r="N939" s="30"/>
      <c r="AB939" s="30"/>
      <c r="AP939" s="30"/>
      <c r="BD939" s="30"/>
    </row>
    <row r="940" ht="15.75" customHeight="1">
      <c r="N940" s="30"/>
      <c r="AB940" s="30"/>
      <c r="AP940" s="30"/>
      <c r="BD940" s="30"/>
    </row>
    <row r="941" ht="15.75" customHeight="1">
      <c r="N941" s="30"/>
      <c r="AB941" s="30"/>
      <c r="AP941" s="30"/>
      <c r="BD941" s="30"/>
    </row>
    <row r="942" ht="15.75" customHeight="1">
      <c r="N942" s="30"/>
      <c r="AB942" s="30"/>
      <c r="AP942" s="30"/>
      <c r="BD942" s="30"/>
    </row>
    <row r="943" ht="15.75" customHeight="1">
      <c r="N943" s="30"/>
      <c r="AB943" s="30"/>
      <c r="AP943" s="30"/>
      <c r="BD943" s="30"/>
    </row>
    <row r="944" ht="15.75" customHeight="1">
      <c r="N944" s="30"/>
      <c r="AB944" s="30"/>
      <c r="AP944" s="30"/>
      <c r="BD944" s="30"/>
    </row>
    <row r="945" ht="15.75" customHeight="1">
      <c r="N945" s="30"/>
      <c r="AB945" s="30"/>
      <c r="AP945" s="30"/>
      <c r="BD945" s="30"/>
    </row>
    <row r="946" ht="15.75" customHeight="1">
      <c r="N946" s="30"/>
      <c r="AB946" s="30"/>
      <c r="AP946" s="30"/>
      <c r="BD946" s="30"/>
    </row>
    <row r="947" ht="15.75" customHeight="1">
      <c r="N947" s="30"/>
      <c r="AB947" s="30"/>
      <c r="AP947" s="30"/>
      <c r="BD947" s="30"/>
    </row>
    <row r="948" ht="15.75" customHeight="1">
      <c r="N948" s="30"/>
      <c r="AB948" s="30"/>
      <c r="AP948" s="30"/>
      <c r="BD948" s="30"/>
    </row>
    <row r="949" ht="15.75" customHeight="1">
      <c r="N949" s="30"/>
      <c r="AB949" s="30"/>
      <c r="AP949" s="30"/>
      <c r="BD949" s="30"/>
    </row>
    <row r="950" ht="15.75" customHeight="1">
      <c r="N950" s="30"/>
      <c r="AB950" s="30"/>
      <c r="AP950" s="30"/>
      <c r="BD950" s="30"/>
    </row>
    <row r="951" ht="15.75" customHeight="1">
      <c r="N951" s="30"/>
      <c r="AB951" s="30"/>
      <c r="AP951" s="30"/>
      <c r="BD951" s="30"/>
    </row>
    <row r="952" ht="15.75" customHeight="1">
      <c r="N952" s="30"/>
      <c r="AB952" s="30"/>
      <c r="AP952" s="30"/>
      <c r="BD952" s="30"/>
    </row>
    <row r="953" ht="15.75" customHeight="1">
      <c r="N953" s="30"/>
      <c r="AB953" s="30"/>
      <c r="AP953" s="30"/>
      <c r="BD953" s="30"/>
    </row>
    <row r="954" ht="15.75" customHeight="1">
      <c r="N954" s="30"/>
      <c r="AB954" s="30"/>
      <c r="AP954" s="30"/>
      <c r="BD954" s="30"/>
    </row>
    <row r="955" ht="15.75" customHeight="1">
      <c r="N955" s="30"/>
      <c r="AB955" s="30"/>
      <c r="AP955" s="30"/>
      <c r="BD955" s="30"/>
    </row>
    <row r="956" ht="15.75" customHeight="1">
      <c r="N956" s="30"/>
      <c r="AB956" s="30"/>
      <c r="AP956" s="30"/>
      <c r="BD956" s="30"/>
    </row>
    <row r="957" ht="15.75" customHeight="1">
      <c r="N957" s="30"/>
      <c r="AB957" s="30"/>
      <c r="AP957" s="30"/>
      <c r="BD957" s="30"/>
    </row>
    <row r="958" ht="15.75" customHeight="1">
      <c r="N958" s="30"/>
      <c r="AB958" s="30"/>
      <c r="AP958" s="30"/>
      <c r="BD958" s="30"/>
    </row>
    <row r="959" ht="15.75" customHeight="1">
      <c r="N959" s="30"/>
      <c r="AB959" s="30"/>
      <c r="AP959" s="30"/>
      <c r="BD959" s="30"/>
    </row>
    <row r="960" ht="15.75" customHeight="1">
      <c r="N960" s="30"/>
      <c r="AB960" s="30"/>
      <c r="AP960" s="30"/>
      <c r="BD960" s="30"/>
    </row>
    <row r="961" ht="15.75" customHeight="1">
      <c r="N961" s="30"/>
      <c r="AB961" s="30"/>
      <c r="AP961" s="30"/>
      <c r="BD961" s="30"/>
    </row>
    <row r="962" ht="15.75" customHeight="1">
      <c r="N962" s="30"/>
      <c r="AB962" s="30"/>
      <c r="AP962" s="30"/>
      <c r="BD962" s="30"/>
    </row>
    <row r="963" ht="15.75" customHeight="1">
      <c r="N963" s="30"/>
      <c r="AB963" s="30"/>
      <c r="AP963" s="30"/>
      <c r="BD963" s="30"/>
    </row>
    <row r="964" ht="15.75" customHeight="1">
      <c r="N964" s="30"/>
      <c r="AB964" s="30"/>
      <c r="AP964" s="30"/>
      <c r="BD964" s="30"/>
    </row>
    <row r="965" ht="15.75" customHeight="1">
      <c r="N965" s="30"/>
      <c r="AB965" s="30"/>
      <c r="AP965" s="30"/>
      <c r="BD965" s="30"/>
    </row>
    <row r="966" ht="15.75" customHeight="1">
      <c r="N966" s="30"/>
      <c r="AB966" s="30"/>
      <c r="AP966" s="30"/>
      <c r="BD966" s="30"/>
    </row>
    <row r="967" ht="15.75" customHeight="1">
      <c r="N967" s="30"/>
      <c r="AB967" s="30"/>
      <c r="AP967" s="30"/>
      <c r="BD967" s="30"/>
    </row>
    <row r="968" ht="15.75" customHeight="1">
      <c r="N968" s="30"/>
      <c r="AB968" s="30"/>
      <c r="AP968" s="30"/>
      <c r="BD968" s="30"/>
    </row>
    <row r="969" ht="15.75" customHeight="1">
      <c r="N969" s="30"/>
      <c r="AB969" s="30"/>
      <c r="AP969" s="30"/>
      <c r="BD969" s="30"/>
    </row>
    <row r="970" ht="15.75" customHeight="1">
      <c r="N970" s="30"/>
      <c r="AB970" s="30"/>
      <c r="AP970" s="30"/>
      <c r="BD970" s="30"/>
    </row>
    <row r="971" ht="15.75" customHeight="1">
      <c r="N971" s="30"/>
      <c r="AB971" s="30"/>
      <c r="AP971" s="30"/>
      <c r="BD971" s="30"/>
    </row>
    <row r="972" ht="15.75" customHeight="1">
      <c r="N972" s="30"/>
      <c r="AB972" s="30"/>
      <c r="AP972" s="30"/>
      <c r="BD972" s="30"/>
    </row>
    <row r="973" ht="15.75" customHeight="1">
      <c r="N973" s="30"/>
      <c r="AB973" s="30"/>
      <c r="AP973" s="30"/>
      <c r="BD973" s="30"/>
    </row>
    <row r="974" ht="15.75" customHeight="1">
      <c r="N974" s="30"/>
      <c r="AB974" s="30"/>
      <c r="AP974" s="30"/>
      <c r="BD974" s="30"/>
    </row>
    <row r="975" ht="15.75" customHeight="1">
      <c r="N975" s="30"/>
      <c r="AB975" s="30"/>
      <c r="AP975" s="30"/>
      <c r="BD975" s="30"/>
    </row>
    <row r="976" ht="15.75" customHeight="1">
      <c r="N976" s="30"/>
      <c r="AB976" s="30"/>
      <c r="AP976" s="30"/>
      <c r="BD976" s="30"/>
    </row>
    <row r="977" ht="15.75" customHeight="1">
      <c r="N977" s="30"/>
      <c r="AB977" s="30"/>
      <c r="AP977" s="30"/>
      <c r="BD977" s="30"/>
    </row>
    <row r="978" ht="15.75" customHeight="1">
      <c r="N978" s="30"/>
      <c r="AB978" s="30"/>
      <c r="AP978" s="30"/>
      <c r="BD978" s="30"/>
    </row>
    <row r="979" ht="15.75" customHeight="1">
      <c r="N979" s="30"/>
      <c r="AB979" s="30"/>
      <c r="AP979" s="30"/>
      <c r="BD979" s="30"/>
    </row>
    <row r="980" ht="15.75" customHeight="1">
      <c r="N980" s="30"/>
      <c r="AB980" s="30"/>
      <c r="AP980" s="30"/>
      <c r="BD980" s="30"/>
    </row>
    <row r="981" ht="15.75" customHeight="1">
      <c r="N981" s="30"/>
      <c r="AB981" s="30"/>
      <c r="AP981" s="30"/>
      <c r="BD981" s="30"/>
    </row>
    <row r="982" ht="15.75" customHeight="1">
      <c r="N982" s="30"/>
      <c r="AB982" s="30"/>
      <c r="AP982" s="30"/>
      <c r="BD982" s="30"/>
    </row>
    <row r="983" ht="15.75" customHeight="1">
      <c r="N983" s="30"/>
      <c r="AB983" s="30"/>
      <c r="AP983" s="30"/>
      <c r="BD983" s="30"/>
    </row>
    <row r="984" ht="15.75" customHeight="1">
      <c r="N984" s="30"/>
      <c r="AB984" s="30"/>
      <c r="AP984" s="30"/>
      <c r="BD984" s="30"/>
    </row>
    <row r="985" ht="15.75" customHeight="1">
      <c r="N985" s="30"/>
      <c r="AB985" s="30"/>
      <c r="AP985" s="30"/>
      <c r="BD985" s="30"/>
    </row>
    <row r="986" ht="15.75" customHeight="1">
      <c r="N986" s="30"/>
      <c r="AB986" s="30"/>
      <c r="AP986" s="30"/>
      <c r="BD986" s="30"/>
    </row>
    <row r="987" ht="15.75" customHeight="1">
      <c r="N987" s="30"/>
      <c r="AB987" s="30"/>
      <c r="AP987" s="30"/>
      <c r="BD987" s="30"/>
    </row>
    <row r="988" ht="15.75" customHeight="1">
      <c r="N988" s="30"/>
      <c r="AB988" s="30"/>
      <c r="AP988" s="30"/>
      <c r="BD988" s="30"/>
    </row>
    <row r="989" ht="15.75" customHeight="1">
      <c r="N989" s="30"/>
      <c r="AB989" s="30"/>
      <c r="AP989" s="30"/>
      <c r="BD989" s="30"/>
    </row>
    <row r="990" ht="15.75" customHeight="1">
      <c r="N990" s="30"/>
      <c r="AB990" s="30"/>
      <c r="AP990" s="30"/>
      <c r="BD990" s="30"/>
    </row>
    <row r="991" ht="15.75" customHeight="1">
      <c r="N991" s="30"/>
      <c r="AB991" s="30"/>
      <c r="AP991" s="30"/>
      <c r="BD991" s="30"/>
    </row>
    <row r="992" ht="15.75" customHeight="1">
      <c r="N992" s="30"/>
      <c r="AB992" s="30"/>
      <c r="AP992" s="30"/>
      <c r="BD992" s="30"/>
    </row>
    <row r="993" ht="15.75" customHeight="1">
      <c r="N993" s="30"/>
      <c r="AB993" s="30"/>
      <c r="AP993" s="30"/>
      <c r="BD993" s="30"/>
    </row>
    <row r="994" ht="15.75" customHeight="1">
      <c r="N994" s="30"/>
      <c r="AB994" s="30"/>
      <c r="AP994" s="30"/>
      <c r="BD994" s="30"/>
    </row>
    <row r="995" ht="15.75" customHeight="1">
      <c r="N995" s="30"/>
      <c r="AB995" s="30"/>
      <c r="AP995" s="30"/>
      <c r="BD995" s="30"/>
    </row>
    <row r="996" ht="15.75" customHeight="1">
      <c r="N996" s="30"/>
      <c r="AB996" s="30"/>
      <c r="AP996" s="30"/>
      <c r="BD996" s="30"/>
    </row>
    <row r="997" ht="15.75" customHeight="1">
      <c r="N997" s="30"/>
      <c r="AB997" s="30"/>
      <c r="AP997" s="30"/>
      <c r="BD997" s="30"/>
    </row>
    <row r="998" ht="15.75" customHeight="1">
      <c r="N998" s="30"/>
      <c r="AB998" s="30"/>
      <c r="AP998" s="30"/>
      <c r="BD998" s="30"/>
    </row>
    <row r="999" ht="15.75" customHeight="1">
      <c r="N999" s="30"/>
      <c r="AB999" s="30"/>
      <c r="AP999" s="30"/>
      <c r="BD999" s="30"/>
    </row>
    <row r="1000" ht="15.75" customHeight="1">
      <c r="N1000" s="30"/>
      <c r="AB1000" s="30"/>
      <c r="AP1000" s="30"/>
      <c r="BD1000" s="30"/>
    </row>
  </sheetData>
  <printOptions/>
  <pageMargins bottom="0.7480314960629921" footer="0.0" header="0.0" left="0.7086614173228347" right="0.7086614173228347" top="0.7480314960629921"/>
  <pageSetup paperSize="9" orientation="landscape"/>
  <colBreaks count="3" manualBreakCount="3">
    <brk id="43" man="1"/>
    <brk id="29" man="1"/>
    <brk id="14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7.29"/>
    <col customWidth="1" min="2" max="2" width="11.57"/>
    <col customWidth="1" min="3" max="10" width="12.0"/>
    <col customWidth="1" min="11" max="11" width="13.0"/>
    <col customWidth="1" min="12" max="12" width="12.57"/>
    <col customWidth="1" min="13" max="13" width="13.0"/>
    <col customWidth="1" min="14" max="14" width="5.86"/>
    <col customWidth="1" min="15" max="15" width="4.29"/>
    <col customWidth="1" min="16" max="22" width="13.0"/>
    <col customWidth="1" min="23" max="23" width="13.43"/>
    <col customWidth="1" min="24" max="24" width="13.0"/>
    <col customWidth="1" min="25" max="27" width="13.43"/>
    <col customWidth="1" min="28" max="28" width="5.86"/>
    <col customWidth="1" min="29" max="29" width="4.29"/>
    <col customWidth="1" min="30" max="35" width="13.43"/>
    <col customWidth="1" min="36" max="36" width="13.0"/>
    <col customWidth="1" min="37" max="41" width="13.43"/>
    <col customWidth="1" min="42" max="42" width="5.29"/>
    <col customWidth="1" min="43" max="43" width="4.86"/>
    <col customWidth="1" min="44" max="46" width="13.43"/>
    <col customWidth="1" min="47" max="47" width="13.71"/>
    <col customWidth="1" min="48" max="48" width="13.29"/>
    <col customWidth="1" min="49" max="49" width="13.43"/>
    <col customWidth="1" min="50" max="50" width="13.71"/>
    <col customWidth="1" min="51" max="51" width="13.43"/>
    <col customWidth="1" min="52" max="54" width="13.71"/>
    <col customWidth="1" min="55" max="55" width="13.43"/>
  </cols>
  <sheetData>
    <row r="1">
      <c r="A1" s="88" t="str">
        <f>Assumptions!B1</f>
        <v>CONKR.</v>
      </c>
    </row>
    <row r="2">
      <c r="A2" s="30" t="s">
        <v>144</v>
      </c>
    </row>
    <row r="3">
      <c r="A3" s="89"/>
      <c r="B3" s="89" t="s">
        <v>44</v>
      </c>
      <c r="C3" s="89" t="s">
        <v>45</v>
      </c>
      <c r="D3" s="89" t="s">
        <v>46</v>
      </c>
      <c r="E3" s="89" t="s">
        <v>47</v>
      </c>
      <c r="F3" s="89" t="s">
        <v>48</v>
      </c>
      <c r="G3" s="89" t="s">
        <v>49</v>
      </c>
      <c r="H3" s="89" t="s">
        <v>50</v>
      </c>
      <c r="I3" s="89" t="s">
        <v>51</v>
      </c>
      <c r="J3" s="89" t="s">
        <v>52</v>
      </c>
      <c r="K3" s="89" t="s">
        <v>53</v>
      </c>
      <c r="L3" s="89" t="s">
        <v>54</v>
      </c>
      <c r="M3" s="89" t="s">
        <v>55</v>
      </c>
      <c r="N3" s="89"/>
      <c r="O3" s="89"/>
      <c r="P3" s="89" t="s">
        <v>59</v>
      </c>
      <c r="Q3" s="89" t="s">
        <v>60</v>
      </c>
      <c r="R3" s="89" t="s">
        <v>61</v>
      </c>
      <c r="S3" s="89" t="s">
        <v>62</v>
      </c>
      <c r="T3" s="89" t="s">
        <v>63</v>
      </c>
      <c r="U3" s="89" t="s">
        <v>64</v>
      </c>
      <c r="V3" s="89" t="s">
        <v>65</v>
      </c>
      <c r="W3" s="89" t="s">
        <v>66</v>
      </c>
      <c r="X3" s="89" t="s">
        <v>67</v>
      </c>
      <c r="Y3" s="89" t="s">
        <v>68</v>
      </c>
      <c r="Z3" s="89" t="s">
        <v>69</v>
      </c>
      <c r="AA3" s="89" t="s">
        <v>70</v>
      </c>
      <c r="AB3" s="89"/>
      <c r="AC3" s="89"/>
      <c r="AD3" s="89" t="s">
        <v>73</v>
      </c>
      <c r="AE3" s="89" t="s">
        <v>74</v>
      </c>
      <c r="AF3" s="89" t="s">
        <v>75</v>
      </c>
      <c r="AG3" s="89" t="s">
        <v>76</v>
      </c>
      <c r="AH3" s="89" t="s">
        <v>77</v>
      </c>
      <c r="AI3" s="89" t="s">
        <v>78</v>
      </c>
      <c r="AJ3" s="89" t="s">
        <v>79</v>
      </c>
      <c r="AK3" s="89" t="s">
        <v>80</v>
      </c>
      <c r="AL3" s="89" t="s">
        <v>81</v>
      </c>
      <c r="AM3" s="89" t="s">
        <v>82</v>
      </c>
      <c r="AN3" s="89" t="s">
        <v>83</v>
      </c>
      <c r="AO3" s="89" t="s">
        <v>84</v>
      </c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</row>
    <row r="5">
      <c r="A5" s="24" t="s">
        <v>122</v>
      </c>
      <c r="B5" s="94">
        <f>Assumptions!B58-(Assumptions!B59*0.25/12)</f>
        <v>0</v>
      </c>
      <c r="C5" s="94">
        <f>B5+Assumptions!C58-(Assumptions!C59*0.25/12)</f>
        <v>0</v>
      </c>
      <c r="D5" s="45">
        <f>C5+Assumptions!D58-(Assumptions!D59*0.25/12)</f>
        <v>0</v>
      </c>
      <c r="E5" s="45">
        <f>D5+Assumptions!E58-(Assumptions!E59*0.25/12)</f>
        <v>0</v>
      </c>
      <c r="F5" s="45">
        <f>E5+Assumptions!F58-(Assumptions!F59*0.25/12)</f>
        <v>0</v>
      </c>
      <c r="G5" s="45">
        <f>F5+Assumptions!G58-(Assumptions!G59*0.25/12)</f>
        <v>0</v>
      </c>
      <c r="H5" s="45">
        <f>G5+Assumptions!H58-(Assumptions!H59*0.25/12)</f>
        <v>0</v>
      </c>
      <c r="I5" s="45">
        <f>H5+Assumptions!I58-(Assumptions!I59*0.25/12)</f>
        <v>0</v>
      </c>
      <c r="J5" s="45">
        <f>I5+Assumptions!J58-(Assumptions!J59*0.25/12)</f>
        <v>0</v>
      </c>
      <c r="K5" s="45">
        <f>J5+Assumptions!K58-(Assumptions!K59*0.25/12)</f>
        <v>0</v>
      </c>
      <c r="L5" s="45">
        <f>K5+Assumptions!L58-(Assumptions!L59*0.25/12)</f>
        <v>0</v>
      </c>
      <c r="M5" s="45">
        <f>L5+Assumptions!M58-(Assumptions!M59*0.25/12)</f>
        <v>0</v>
      </c>
      <c r="N5" s="45"/>
      <c r="P5" s="45">
        <f>M5+Assumptions!B62-(Assumptions!B63*0.25/12)</f>
        <v>0</v>
      </c>
      <c r="Q5" s="45">
        <f>P5+Assumptions!C62-(Assumptions!C63*0.25/12)</f>
        <v>0</v>
      </c>
      <c r="R5" s="45">
        <f>Q5+Assumptions!D62-(Assumptions!D63*0.25/12)</f>
        <v>0</v>
      </c>
      <c r="S5" s="45">
        <f>R5+Assumptions!E62-(Assumptions!E63*0.25/12)</f>
        <v>0</v>
      </c>
      <c r="T5" s="45">
        <f>S5+Assumptions!F62-(Assumptions!F63*0.25/12)</f>
        <v>0</v>
      </c>
      <c r="U5" s="45">
        <f>T5+Assumptions!G62-(Assumptions!G63*0.25/12)</f>
        <v>0</v>
      </c>
      <c r="V5" s="45">
        <f>U5+Assumptions!H62-(Assumptions!H63*0.25/12)</f>
        <v>0</v>
      </c>
      <c r="W5" s="45">
        <f>V5+Assumptions!I62-(Assumptions!I63*0.25/12)</f>
        <v>0</v>
      </c>
      <c r="X5" s="45">
        <f>W5+Assumptions!J62-(Assumptions!J63*0.25/12)</f>
        <v>0</v>
      </c>
      <c r="Y5" s="45">
        <f>X5+Assumptions!K62-(Assumptions!K63*0.25/12)</f>
        <v>0</v>
      </c>
      <c r="Z5" s="45">
        <f>Y5+Assumptions!L62-(Assumptions!L63*0.25/12)</f>
        <v>0</v>
      </c>
      <c r="AA5" s="45">
        <f>Z5+Assumptions!M62-(Assumptions!M63*0.25/12)</f>
        <v>0</v>
      </c>
      <c r="AB5" s="45"/>
      <c r="AD5" s="45">
        <f>AA5+Assumptions!B66-(Assumptions!B67*0.25/12)</f>
        <v>0</v>
      </c>
      <c r="AE5" s="45">
        <f>AD5+Assumptions!C66-(Assumptions!C67*0.25/12)</f>
        <v>0</v>
      </c>
      <c r="AF5" s="45">
        <f>AE5+Assumptions!D66-(Assumptions!D67*0.25/12)</f>
        <v>0</v>
      </c>
      <c r="AG5" s="45">
        <f>AF5+Assumptions!E66-(Assumptions!E67*0.25/12)</f>
        <v>0</v>
      </c>
      <c r="AH5" s="45">
        <f>AG5+Assumptions!F66-(Assumptions!F67*0.25/12)</f>
        <v>0</v>
      </c>
      <c r="AI5" s="45">
        <f>AH5+Assumptions!G66-(Assumptions!G67*0.25/12)</f>
        <v>0</v>
      </c>
      <c r="AJ5" s="45">
        <f>AI5+Assumptions!H66-(Assumptions!H67*0.25/12)</f>
        <v>0</v>
      </c>
      <c r="AK5" s="45">
        <f>AJ5+Assumptions!I66-(Assumptions!I67*0.25/12)</f>
        <v>0</v>
      </c>
      <c r="AL5" s="45">
        <f>AK5+Assumptions!J66-(Assumptions!J67*0.25/12)</f>
        <v>0</v>
      </c>
      <c r="AM5" s="45">
        <f>AL5+Assumptions!K66-(Assumptions!K67*0.25/12)</f>
        <v>0</v>
      </c>
      <c r="AN5" s="45">
        <f>AM5+Assumptions!L66-(Assumptions!L67*0.25/12)</f>
        <v>0</v>
      </c>
      <c r="AO5" s="45">
        <f>AN5+Assumptions!M66-(Assumptions!M67*0.25/12)</f>
        <v>0</v>
      </c>
      <c r="AP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</row>
    <row r="7">
      <c r="A7" s="24" t="s">
        <v>145</v>
      </c>
      <c r="B7" s="79">
        <f>Cashflow!B37</f>
        <v>142500</v>
      </c>
      <c r="C7" s="79">
        <f>Cashflow!C37</f>
        <v>128000</v>
      </c>
      <c r="D7" s="79">
        <f>Cashflow!D37</f>
        <v>113500</v>
      </c>
      <c r="E7" s="79">
        <f>Cashflow!E37</f>
        <v>105250</v>
      </c>
      <c r="F7" s="79">
        <f>Cashflow!F37</f>
        <v>90750</v>
      </c>
      <c r="G7" s="79">
        <f>Cashflow!G37</f>
        <v>76250</v>
      </c>
      <c r="H7" s="79">
        <f>Cashflow!H37</f>
        <v>66500</v>
      </c>
      <c r="I7" s="79">
        <f>Cashflow!I37</f>
        <v>52000</v>
      </c>
      <c r="J7" s="79">
        <f>Cashflow!J37</f>
        <v>37500</v>
      </c>
      <c r="K7" s="79">
        <f>Cashflow!K37</f>
        <v>31933.03017</v>
      </c>
      <c r="L7" s="79">
        <f>Cashflow!L37</f>
        <v>22784.68523</v>
      </c>
      <c r="M7" s="79">
        <f>Cashflow!M37</f>
        <v>15124.5233</v>
      </c>
      <c r="N7" s="79"/>
      <c r="O7" s="79"/>
      <c r="P7" s="79">
        <f>Cashflow!P37</f>
        <v>11642.71299</v>
      </c>
      <c r="Q7" s="79">
        <f>Cashflow!Q37</f>
        <v>10601.92425</v>
      </c>
      <c r="R7" s="79">
        <f>Cashflow!R37</f>
        <v>12584.30977</v>
      </c>
      <c r="S7" s="79">
        <f>Cashflow!S37</f>
        <v>13447.03243</v>
      </c>
      <c r="T7" s="79">
        <f>Cashflow!T37</f>
        <v>22770.71302</v>
      </c>
      <c r="U7" s="79">
        <f>Cashflow!U37</f>
        <v>37975.41687</v>
      </c>
      <c r="V7" s="79">
        <f>Cashflow!V37</f>
        <v>51221.15659</v>
      </c>
      <c r="W7" s="79">
        <f>Cashflow!W37</f>
        <v>82431.6926</v>
      </c>
      <c r="X7" s="79">
        <f>Cashflow!X37</f>
        <v>124167.8124</v>
      </c>
      <c r="Y7" s="79">
        <f>Cashflow!Y37</f>
        <v>159290.4965</v>
      </c>
      <c r="Z7" s="79">
        <f>Cashflow!Z37</f>
        <v>227812.9503</v>
      </c>
      <c r="AA7" s="79">
        <f>Cashflow!AA37</f>
        <v>312605.7754</v>
      </c>
      <c r="AB7" s="79"/>
      <c r="AC7" s="79"/>
      <c r="AD7" s="79">
        <f>Cashflow!AD37</f>
        <v>372190.2978</v>
      </c>
      <c r="AE7" s="79">
        <f>Cashflow!AE37</f>
        <v>490979.122</v>
      </c>
      <c r="AF7" s="79">
        <f>Cashflow!AF37</f>
        <v>629916.0606</v>
      </c>
      <c r="AG7" s="79">
        <f>Cashflow!AG37</f>
        <v>725731.5259</v>
      </c>
      <c r="AH7" s="79">
        <f>Cashflow!AH37</f>
        <v>902655.6578</v>
      </c>
      <c r="AI7" s="79">
        <f>Cashflow!AI37</f>
        <v>1101009.982</v>
      </c>
      <c r="AJ7" s="79">
        <f>Cashflow!AJ37</f>
        <v>1223478.974</v>
      </c>
      <c r="AK7" s="79">
        <f>Cashflow!AK37</f>
        <v>1455252.036</v>
      </c>
      <c r="AL7" s="79">
        <f>Cashflow!AL37</f>
        <v>1719116.764</v>
      </c>
      <c r="AM7" s="79">
        <f>Cashflow!AM37</f>
        <v>1857206.983</v>
      </c>
      <c r="AN7" s="79">
        <f>Cashflow!AN37</f>
        <v>2124930.668</v>
      </c>
      <c r="AO7" s="79">
        <f>Cashflow!AO37</f>
        <v>2401044.355</v>
      </c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</row>
    <row r="8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</row>
    <row r="9">
      <c r="A9" s="24" t="s">
        <v>146</v>
      </c>
      <c r="B9" s="79">
        <f>((SUM('P&amp;L'!B20:B29)-SUM('P&amp;L'!B6)+Assumptions!B58)*0.2)</f>
        <v>3083.333333</v>
      </c>
      <c r="C9" s="79">
        <f>B9+((SUM('P&amp;L'!C20:C29)+'P&amp;L'!C11-SUM('P&amp;L'!C6)+Assumptions!C58)*0.2)-Cashflow!C9+Cashflow!C30</f>
        <v>4666.666667</v>
      </c>
      <c r="D9" s="79">
        <f>C9+((SUM('P&amp;L'!D20:D29)+'P&amp;L'!D11-SUM('P&amp;L'!D6)+Assumptions!D58)*0.2)-Cashflow!D9+Cashflow!D30</f>
        <v>6250</v>
      </c>
      <c r="E9" s="79">
        <f>D9+((SUM('P&amp;L'!E20:E29)+'P&amp;L'!E11-SUM('P&amp;L'!E6)+Assumptions!E58)*0.2)-Cashflow!E9+Cashflow!E30</f>
        <v>1583.333333</v>
      </c>
      <c r="F9" s="79">
        <f>E9+((SUM('P&amp;L'!F20:F29)+'P&amp;L'!F11-SUM('P&amp;L'!F6)+Assumptions!F58)*0.2)-Cashflow!F9+Cashflow!F30</f>
        <v>3166.666667</v>
      </c>
      <c r="G9" s="79">
        <f>F9+((SUM('P&amp;L'!G20:G29)+'P&amp;L'!G11-SUM('P&amp;L'!G6)+Assumptions!G58)*0.2)-Cashflow!G9+Cashflow!G30</f>
        <v>4750</v>
      </c>
      <c r="H9" s="79">
        <f>G9+((SUM('P&amp;L'!H20:H29)+'P&amp;L'!H11-SUM('P&amp;L'!H6)+Assumptions!H58)*0.2)-Cashflow!H9+Cashflow!H30</f>
        <v>1583.333333</v>
      </c>
      <c r="I9" s="79">
        <f>H9+((SUM('P&amp;L'!I20:I29)+'P&amp;L'!I11-SUM('P&amp;L'!I6)+Assumptions!I58)*0.2)-Cashflow!I9+Cashflow!I30</f>
        <v>3166.666667</v>
      </c>
      <c r="J9" s="79">
        <f>I9+((SUM('P&amp;L'!J20:J29)+'P&amp;L'!J11-SUM('P&amp;L'!J6)+Assumptions!J58)*0.2)-Cashflow!J9+Cashflow!J30</f>
        <v>4750</v>
      </c>
      <c r="K9" s="79">
        <f>J9+((SUM('P&amp;L'!K20:K29)+'P&amp;L'!K11-SUM('P&amp;L'!K6)+Assumptions!K58)*0.2)-Cashflow!K9+Cashflow!K30</f>
        <v>886.1616388</v>
      </c>
      <c r="L9" s="79">
        <f>K9+((SUM('P&amp;L'!L20:L29)+'P&amp;L'!L11-SUM('P&amp;L'!L6)+Assumptions!L58)*0.2)-Cashflow!L9+Cashflow!L30</f>
        <v>1577.552461</v>
      </c>
      <c r="M9" s="79">
        <f>L9+((SUM('P&amp;L'!M20:M29)+'P&amp;L'!M11-SUM('P&amp;L'!M6)+Assumptions!M58)*0.2)-Cashflow!M9+Cashflow!M30</f>
        <v>2020.912784</v>
      </c>
      <c r="N9" s="79"/>
      <c r="O9" s="79"/>
      <c r="P9" s="79">
        <f>M9+((SUM('P&amp;L'!P20:P29)+'P&amp;L'!P11-SUM('P&amp;L'!P6)+Assumptions!B62)*0.2)-Cashflow!P9+Cashflow!P30</f>
        <v>-138.4350407</v>
      </c>
      <c r="Q9" s="79">
        <f>P9+((SUM('P&amp;L'!Q20:Q29)+'P&amp;L'!Q11-SUM('P&amp;L'!Q6)+Assumptions!C62)*0.2)-Cashflow!Q9+Cashflow!Q30</f>
        <v>-1076.081361</v>
      </c>
      <c r="R9" s="79">
        <f>Q9+((SUM('P&amp;L'!R20:R29)+'P&amp;L'!R11-SUM('P&amp;L'!R6)+Assumptions!D62)*0.2)-Cashflow!R9+Cashflow!R30</f>
        <v>-2517.59006</v>
      </c>
      <c r="S9" s="79">
        <f>R9+((SUM('P&amp;L'!S20:S29)+'P&amp;L'!S11-SUM('P&amp;L'!S6)+Assumptions!E62)*0.2)-Cashflow!S9+Cashflow!S30</f>
        <v>-1674.496563</v>
      </c>
      <c r="T9" s="79">
        <f>S9+((SUM('P&amp;L'!T20:T29)+'P&amp;L'!T11-SUM('P&amp;L'!T6)+Assumptions!F62)*0.2)-Cashflow!T9+Cashflow!T30</f>
        <v>-4339.55444</v>
      </c>
      <c r="U9" s="79">
        <f>T9+((SUM('P&amp;L'!U20:U29)+'P&amp;L'!U11-SUM('P&amp;L'!U6)+Assumptions!G62)*0.2)-Cashflow!U9+Cashflow!U30</f>
        <v>-7984.78286</v>
      </c>
      <c r="V9" s="79">
        <f>U9+((SUM('P&amp;L'!V20:V29)+'P&amp;L'!V11-SUM('P&amp;L'!V6)+Assumptions!H62)*0.2)-Cashflow!V9+Cashflow!V30</f>
        <v>-4649.531541</v>
      </c>
      <c r="W9" s="79">
        <f>V9+((SUM('P&amp;L'!W20:W29)+'P&amp;L'!W11-SUM('P&amp;L'!W6)+Assumptions!I62)*0.2)-Cashflow!W9+Cashflow!W30</f>
        <v>-10962.39865</v>
      </c>
      <c r="X9" s="79">
        <f>W9+((SUM('P&amp;L'!X20:X29)+'P&amp;L'!X11-SUM('P&amp;L'!X6)+Assumptions!J62)*0.2)-Cashflow!X9+Cashflow!X30</f>
        <v>-19029.52973</v>
      </c>
      <c r="Y9" s="79">
        <f>X9+((SUM('P&amp;L'!Y20:Y29)+'P&amp;L'!Y11-SUM('P&amp;L'!Y6)+Assumptions!K62)*0.2)-Cashflow!Y9+Cashflow!Y30</f>
        <v>-10136.48009</v>
      </c>
      <c r="Z9" s="79">
        <f>Y9+((SUM('P&amp;L'!Z20:Z29)+'P&amp;L'!Z11-SUM('P&amp;L'!Z6)+Assumptions!L62)*0.2)-Cashflow!Z9+Cashflow!Z30</f>
        <v>-22668.00016</v>
      </c>
      <c r="AA9" s="79">
        <f>Z9+((SUM('P&amp;L'!AA20:AA29)+'P&amp;L'!AA11-SUM('P&amp;L'!AA6)+Assumptions!M62)*0.2)-Cashflow!AA9+Cashflow!AA30</f>
        <v>-37911.24879</v>
      </c>
      <c r="AB9" s="79"/>
      <c r="AC9" s="79"/>
      <c r="AD9" s="79">
        <f>AA9+((SUM('P&amp;L'!AD20:AD29)+'P&amp;L'!AD11-SUM('P&amp;L'!AD6)+Assumptions!B66)*0.2)-Cashflow!AD9+Cashflow!AD30</f>
        <v>-17638.18408</v>
      </c>
      <c r="AE9" s="79">
        <f>AD9+((SUM('P&amp;L'!AE20:AE29)+'P&amp;L'!AE11-SUM('P&amp;L'!AE6)+Assumptions!C66)*0.2)-Cashflow!AE9+Cashflow!AE30</f>
        <v>-38894.65478</v>
      </c>
      <c r="AF9" s="79">
        <f>AE9+((SUM('P&amp;L'!AF20:AF29)+'P&amp;L'!AF11-SUM('P&amp;L'!AF6)+Assumptions!D66)*0.2)-Cashflow!AF9+Cashflow!AF30</f>
        <v>-63509.14454</v>
      </c>
      <c r="AG9" s="79">
        <f>AF9+((SUM('P&amp;L'!AG20:AG29)+'P&amp;L'!AG11-SUM('P&amp;L'!AG6)+Assumptions!E66)*0.2)-Cashflow!AG9+Cashflow!AG30</f>
        <v>-28012.43498</v>
      </c>
      <c r="AH9" s="79">
        <f>AG9+((SUM('P&amp;L'!AH20:AH29)+'P&amp;L'!AH11-SUM('P&amp;L'!AH6)+Assumptions!F66)*0.2)-Cashflow!AH9+Cashflow!AH30</f>
        <v>-58958.12363</v>
      </c>
      <c r="AI9" s="79">
        <f>AH9+((SUM('P&amp;L'!AI20:AI29)+'P&amp;L'!AI11-SUM('P&amp;L'!AI6)+Assumptions!G66)*0.2)-Cashflow!AI9+Cashflow!AI30</f>
        <v>-93475.51102</v>
      </c>
      <c r="AJ9" s="79">
        <f>AI9+((SUM('P&amp;L'!AJ20:AJ29)+'P&amp;L'!AJ11-SUM('P&amp;L'!AJ6)+Assumptions!H66)*0.2)-Cashflow!AJ9+Cashflow!AJ30</f>
        <v>-37449.08388</v>
      </c>
      <c r="AK9" s="79">
        <f>AJ9+((SUM('P&amp;L'!AK20:AK29)+'P&amp;L'!AK11-SUM('P&amp;L'!AK6)+Assumptions!I66)*0.2)-Cashflow!AK9+Cashflow!AK30</f>
        <v>-77536.26076</v>
      </c>
      <c r="AL9" s="79">
        <f>AK9+((SUM('P&amp;L'!AL20:AL29)+'P&amp;L'!AL11-SUM('P&amp;L'!AL6)+Assumptions!J66)*0.2)-Cashflow!AL9+Cashflow!AL30</f>
        <v>-119540.6111</v>
      </c>
      <c r="AM9" s="79">
        <f>AL9+((SUM('P&amp;L'!AM20:AM29)+'P&amp;L'!AM11-SUM('P&amp;L'!AM6)+Assumptions!K66)*0.2)-Cashflow!AM9+Cashflow!AM30</f>
        <v>-44396.80504</v>
      </c>
      <c r="AN9" s="79">
        <f>AM9+((SUM('P&amp;L'!AN20:AN29)+'P&amp;L'!AN11-SUM('P&amp;L'!AN6)+Assumptions!L66)*0.2)-Cashflow!AN9+Cashflow!AN30</f>
        <v>-90475.75242</v>
      </c>
      <c r="AO9" s="79">
        <f>AN9+((SUM('P&amp;L'!AO20:AO29)+'P&amp;L'!AO11-SUM('P&amp;L'!AO6)+Assumptions!M66)*0.2)-Cashflow!AO9+Cashflow!AO30</f>
        <v>-137953.0337</v>
      </c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</row>
    <row r="10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</row>
    <row r="11">
      <c r="A11" s="24" t="s">
        <v>147</v>
      </c>
      <c r="B11" s="79">
        <f>-SUM('P&amp;L'!B17:B19)*0.2</f>
        <v>-1000</v>
      </c>
      <c r="C11" s="79">
        <f>-SUM('P&amp;L'!C17:C19)*0.2</f>
        <v>-1000</v>
      </c>
      <c r="D11" s="79">
        <f>-SUM('P&amp;L'!D17:D19)*0.2</f>
        <v>-1000</v>
      </c>
      <c r="E11" s="79">
        <f>-SUM('P&amp;L'!E17:E19)*0.2</f>
        <v>-1000</v>
      </c>
      <c r="F11" s="79">
        <f>-SUM('P&amp;L'!F17:F19)*0.2</f>
        <v>-1000</v>
      </c>
      <c r="G11" s="79">
        <f>-SUM('P&amp;L'!G17:G19)*0.2</f>
        <v>-1000</v>
      </c>
      <c r="H11" s="79">
        <f>-SUM('P&amp;L'!H17:H19)*0.2</f>
        <v>-1000</v>
      </c>
      <c r="I11" s="79">
        <f>-SUM('P&amp;L'!I17:I19)*0.2</f>
        <v>-1000</v>
      </c>
      <c r="J11" s="79">
        <f>-SUM('P&amp;L'!J17:J19)*0.2</f>
        <v>-1000</v>
      </c>
      <c r="K11" s="79">
        <f>-SUM('P&amp;L'!K17:K19)*0.2</f>
        <v>-1000</v>
      </c>
      <c r="L11" s="79">
        <f>-SUM('P&amp;L'!L17:L19)*0.2</f>
        <v>-1000</v>
      </c>
      <c r="M11" s="79">
        <f>-SUM('P&amp;L'!M17:M19)*0.2</f>
        <v>-1000</v>
      </c>
      <c r="N11" s="79"/>
      <c r="O11" s="79"/>
      <c r="P11" s="79">
        <f>-SUM('P&amp;L'!P17:P19)*0.2</f>
        <v>-1333.333333</v>
      </c>
      <c r="Q11" s="79">
        <f>-SUM('P&amp;L'!Q17:Q19)*0.2</f>
        <v>-1333.333333</v>
      </c>
      <c r="R11" s="79">
        <f>-SUM('P&amp;L'!R17:R19)*0.2</f>
        <v>-1333.333333</v>
      </c>
      <c r="S11" s="79">
        <f>-SUM('P&amp;L'!S17:S19)*0.2</f>
        <v>-1333.333333</v>
      </c>
      <c r="T11" s="79">
        <f>-SUM('P&amp;L'!T17:T19)*0.2</f>
        <v>-1333.333333</v>
      </c>
      <c r="U11" s="79">
        <f>-SUM('P&amp;L'!U17:U19)*0.2</f>
        <v>-1333.333333</v>
      </c>
      <c r="V11" s="79">
        <f>-SUM('P&amp;L'!V17:V19)*0.2</f>
        <v>-1333.333333</v>
      </c>
      <c r="W11" s="79">
        <f>-SUM('P&amp;L'!W17:W19)*0.2</f>
        <v>-1333.333333</v>
      </c>
      <c r="X11" s="79">
        <f>-SUM('P&amp;L'!X17:X19)*0.2</f>
        <v>-1333.333333</v>
      </c>
      <c r="Y11" s="79">
        <f>-SUM('P&amp;L'!Y17:Y19)*0.2</f>
        <v>-1333.333333</v>
      </c>
      <c r="Z11" s="79">
        <f>-SUM('P&amp;L'!Z17:Z19)*0.2</f>
        <v>-1333.333333</v>
      </c>
      <c r="AA11" s="79">
        <f>-SUM('P&amp;L'!AA17:AA19)*0.2</f>
        <v>-1333.333333</v>
      </c>
      <c r="AB11" s="79"/>
      <c r="AC11" s="79"/>
      <c r="AD11" s="79">
        <f>-SUM('P&amp;L'!AD17:AD19)*0.2</f>
        <v>-1750</v>
      </c>
      <c r="AE11" s="79">
        <f>-SUM('P&amp;L'!AE17:AE19)*0.2</f>
        <v>-1750</v>
      </c>
      <c r="AF11" s="79">
        <f>-SUM('P&amp;L'!AF17:AF19)*0.2</f>
        <v>-1750</v>
      </c>
      <c r="AG11" s="79">
        <f>-SUM('P&amp;L'!AG17:AG19)*0.2</f>
        <v>-1750</v>
      </c>
      <c r="AH11" s="79">
        <f>-SUM('P&amp;L'!AH17:AH19)*0.2</f>
        <v>-1750</v>
      </c>
      <c r="AI11" s="79">
        <f>-SUM('P&amp;L'!AI17:AI19)*0.2</f>
        <v>-1750</v>
      </c>
      <c r="AJ11" s="79">
        <f>-SUM('P&amp;L'!AJ17:AJ19)*0.2</f>
        <v>-1750</v>
      </c>
      <c r="AK11" s="79">
        <f>-SUM('P&amp;L'!AK17:AK19)*0.2</f>
        <v>-1750</v>
      </c>
      <c r="AL11" s="79">
        <f>-SUM('P&amp;L'!AL17:AL19)*0.2</f>
        <v>-1750</v>
      </c>
      <c r="AM11" s="79">
        <f>-SUM('P&amp;L'!AM17:AM19)*0.2</f>
        <v>-1750</v>
      </c>
      <c r="AN11" s="79">
        <f>-SUM('P&amp;L'!AN17:AN19)*0.2</f>
        <v>-1750</v>
      </c>
      <c r="AO11" s="79">
        <f>-SUM('P&amp;L'!AO17:AO19)*0.2</f>
        <v>-1750</v>
      </c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</row>
    <row r="12"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</row>
    <row r="13" ht="15.75" customHeight="1">
      <c r="A13" s="24" t="s">
        <v>140</v>
      </c>
      <c r="B13" s="79">
        <f>'P&amp;L'!B37+Cashflow!B31</f>
        <v>0</v>
      </c>
      <c r="C13" s="79">
        <f>B13+'P&amp;L'!C37+Cashflow!C31</f>
        <v>0</v>
      </c>
      <c r="D13" s="79">
        <f>C13+'P&amp;L'!D37+Cashflow!D31</f>
        <v>0</v>
      </c>
      <c r="E13" s="79">
        <f>D13+'P&amp;L'!E37+Cashflow!E31</f>
        <v>0</v>
      </c>
      <c r="F13" s="79">
        <f>E13+'P&amp;L'!F37+Cashflow!F31</f>
        <v>0</v>
      </c>
      <c r="G13" s="79">
        <f>F13+'P&amp;L'!G37+Cashflow!G31</f>
        <v>0</v>
      </c>
      <c r="H13" s="79">
        <f>G13+'P&amp;L'!H37+Cashflow!H31</f>
        <v>0</v>
      </c>
      <c r="I13" s="79">
        <f>H13+'P&amp;L'!I37+Cashflow!I31</f>
        <v>0</v>
      </c>
      <c r="J13" s="79">
        <f>I13+'P&amp;L'!J37+Cashflow!J31</f>
        <v>0</v>
      </c>
      <c r="K13" s="79">
        <f>J13+'P&amp;L'!K37+Cashflow!K31</f>
        <v>0</v>
      </c>
      <c r="L13" s="79">
        <f>K13+'P&amp;L'!L37+Cashflow!L31</f>
        <v>0</v>
      </c>
      <c r="M13" s="79">
        <f>L13+'P&amp;L'!M37+Cashflow!M31</f>
        <v>0</v>
      </c>
      <c r="N13" s="79"/>
      <c r="O13" s="79"/>
      <c r="P13" s="79">
        <f>M13+'P&amp;L'!P37-Cashflow!P31</f>
        <v>0</v>
      </c>
      <c r="Q13" s="79">
        <f>O13+'P&amp;L'!Q37-Cashflow!Q31</f>
        <v>0</v>
      </c>
      <c r="R13" s="79">
        <f>P13+'P&amp;L'!R37-Cashflow!R31</f>
        <v>0</v>
      </c>
      <c r="S13" s="79">
        <f>Q13+'P&amp;L'!S37-Cashflow!S31</f>
        <v>0</v>
      </c>
      <c r="T13" s="79">
        <f>R13+'P&amp;L'!T37-Cashflow!T31</f>
        <v>0</v>
      </c>
      <c r="U13" s="79">
        <f>S13+'P&amp;L'!U37-Cashflow!U31</f>
        <v>0</v>
      </c>
      <c r="V13" s="79">
        <f>T13+'P&amp;L'!V37-Cashflow!V31</f>
        <v>0</v>
      </c>
      <c r="W13" s="79">
        <f>U13+'P&amp;L'!W37-Cashflow!W31</f>
        <v>0</v>
      </c>
      <c r="X13" s="79">
        <f>V13+'P&amp;L'!X37-Cashflow!X31</f>
        <v>0</v>
      </c>
      <c r="Y13" s="79">
        <f>W13+'P&amp;L'!Y37-Cashflow!Y31</f>
        <v>0</v>
      </c>
      <c r="Z13" s="79">
        <f>X13+'P&amp;L'!Z37-Cashflow!Z31</f>
        <v>0</v>
      </c>
      <c r="AA13" s="79">
        <f>Y13+'P&amp;L'!AA37-Cashflow!AA31</f>
        <v>20588.62673</v>
      </c>
      <c r="AB13" s="79"/>
      <c r="AC13" s="79"/>
      <c r="AD13" s="79">
        <f>AA13+'P&amp;L'!AD37-Cashflow!AD31</f>
        <v>20588.62673</v>
      </c>
      <c r="AE13" s="79">
        <f>AD13+'P&amp;L'!AE37-Cashflow!AE31</f>
        <v>20588.62673</v>
      </c>
      <c r="AF13" s="79">
        <f>AE13+'P&amp;L'!AF37-Cashflow!AF31</f>
        <v>20588.62673</v>
      </c>
      <c r="AG13" s="79">
        <f>AF13+'P&amp;L'!AG37-Cashflow!AG31</f>
        <v>20588.62673</v>
      </c>
      <c r="AH13" s="79">
        <f>AG13+'P&amp;L'!AH37-Cashflow!AH31</f>
        <v>20588.62673</v>
      </c>
      <c r="AI13" s="79">
        <f>AH13+'P&amp;L'!AI37-Cashflow!AI31</f>
        <v>20588.62673</v>
      </c>
      <c r="AJ13" s="79">
        <f>AI13+'P&amp;L'!AJ37-Cashflow!AJ31</f>
        <v>20588.62673</v>
      </c>
      <c r="AK13" s="79">
        <f>AJ13+'P&amp;L'!AK37-Cashflow!AK31</f>
        <v>20588.62673</v>
      </c>
      <c r="AL13" s="79">
        <f>AK13+'P&amp;L'!AL37+Cashflow!AL31</f>
        <v>0</v>
      </c>
      <c r="AM13" s="79">
        <f>AL13+'P&amp;L'!AM37-Cashflow!AM31</f>
        <v>0</v>
      </c>
      <c r="AN13" s="79">
        <f>AM13+'P&amp;L'!AN37-Cashflow!AN31</f>
        <v>0</v>
      </c>
      <c r="AO13" s="79">
        <f>AN13+'P&amp;L'!AO37-Cashflow!AO31</f>
        <v>-394393.012</v>
      </c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</row>
    <row r="14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</row>
    <row r="15">
      <c r="A15" s="30" t="s">
        <v>148</v>
      </c>
      <c r="B15" s="80">
        <f t="shared" ref="B15:M15" si="1">SUM(B5:B14)</f>
        <v>144583.3333</v>
      </c>
      <c r="C15" s="80">
        <f t="shared" si="1"/>
        <v>131666.6667</v>
      </c>
      <c r="D15" s="80">
        <f t="shared" si="1"/>
        <v>118750</v>
      </c>
      <c r="E15" s="80">
        <f t="shared" si="1"/>
        <v>105833.3333</v>
      </c>
      <c r="F15" s="80">
        <f t="shared" si="1"/>
        <v>92916.66667</v>
      </c>
      <c r="G15" s="80">
        <f t="shared" si="1"/>
        <v>80000</v>
      </c>
      <c r="H15" s="80">
        <f t="shared" si="1"/>
        <v>67083.33333</v>
      </c>
      <c r="I15" s="80">
        <f t="shared" si="1"/>
        <v>54166.66667</v>
      </c>
      <c r="J15" s="80">
        <f t="shared" si="1"/>
        <v>41250</v>
      </c>
      <c r="K15" s="80">
        <f t="shared" si="1"/>
        <v>31819.19181</v>
      </c>
      <c r="L15" s="80">
        <f t="shared" si="1"/>
        <v>23362.2377</v>
      </c>
      <c r="M15" s="80">
        <f t="shared" si="1"/>
        <v>16145.43608</v>
      </c>
      <c r="N15" s="82"/>
      <c r="O15" s="82"/>
      <c r="P15" s="80">
        <f t="shared" ref="P15:AA15" si="2">SUM(P5:P14)</f>
        <v>10170.94462</v>
      </c>
      <c r="Q15" s="80">
        <f t="shared" si="2"/>
        <v>8192.509554</v>
      </c>
      <c r="R15" s="80">
        <f t="shared" si="2"/>
        <v>8733.386378</v>
      </c>
      <c r="S15" s="80">
        <f t="shared" si="2"/>
        <v>10439.20253</v>
      </c>
      <c r="T15" s="80">
        <f t="shared" si="2"/>
        <v>17097.82525</v>
      </c>
      <c r="U15" s="80">
        <f t="shared" si="2"/>
        <v>28657.30068</v>
      </c>
      <c r="V15" s="80">
        <f t="shared" si="2"/>
        <v>45238.29172</v>
      </c>
      <c r="W15" s="80">
        <f t="shared" si="2"/>
        <v>70135.96061</v>
      </c>
      <c r="X15" s="80">
        <f t="shared" si="2"/>
        <v>103804.9493</v>
      </c>
      <c r="Y15" s="80">
        <f t="shared" si="2"/>
        <v>147820.6831</v>
      </c>
      <c r="Z15" s="80">
        <f t="shared" si="2"/>
        <v>203811.6168</v>
      </c>
      <c r="AA15" s="80">
        <f t="shared" si="2"/>
        <v>293949.82</v>
      </c>
      <c r="AB15" s="82"/>
      <c r="AC15" s="82"/>
      <c r="AD15" s="80">
        <f t="shared" ref="AD15:AO15" si="3">SUM(AD5:AD14)</f>
        <v>373390.7404</v>
      </c>
      <c r="AE15" s="80">
        <f t="shared" si="3"/>
        <v>470923.0939</v>
      </c>
      <c r="AF15" s="80">
        <f t="shared" si="3"/>
        <v>585245.5427</v>
      </c>
      <c r="AG15" s="80">
        <f t="shared" si="3"/>
        <v>716557.7176</v>
      </c>
      <c r="AH15" s="80">
        <f t="shared" si="3"/>
        <v>862536.1609</v>
      </c>
      <c r="AI15" s="80">
        <f t="shared" si="3"/>
        <v>1026373.098</v>
      </c>
      <c r="AJ15" s="80">
        <f t="shared" si="3"/>
        <v>1204868.517</v>
      </c>
      <c r="AK15" s="80">
        <f t="shared" si="3"/>
        <v>1396554.402</v>
      </c>
      <c r="AL15" s="80">
        <f t="shared" si="3"/>
        <v>1597826.153</v>
      </c>
      <c r="AM15" s="80">
        <f t="shared" si="3"/>
        <v>1811060.178</v>
      </c>
      <c r="AN15" s="80">
        <f t="shared" si="3"/>
        <v>2032704.915</v>
      </c>
      <c r="AO15" s="80">
        <f t="shared" si="3"/>
        <v>1866948.31</v>
      </c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</row>
    <row r="16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</row>
    <row r="17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</row>
    <row r="18">
      <c r="A18" s="24" t="s">
        <v>149</v>
      </c>
      <c r="B18" s="79">
        <f>SUM(Cashflow!$B$6:$B$7)</f>
        <v>165000</v>
      </c>
      <c r="C18" s="79">
        <f>B18+SUM(Cashflow!C6:C7)</f>
        <v>165000</v>
      </c>
      <c r="D18" s="79">
        <f>C18+SUM(Cashflow!D6:D7)</f>
        <v>165000</v>
      </c>
      <c r="E18" s="79">
        <f>D18+SUM(Cashflow!E6:E7)</f>
        <v>165000</v>
      </c>
      <c r="F18" s="79">
        <f>E18+SUM(Cashflow!F6:F7)</f>
        <v>165000</v>
      </c>
      <c r="G18" s="79">
        <f>F18+SUM(Cashflow!G6:G7)</f>
        <v>165000</v>
      </c>
      <c r="H18" s="79">
        <f>G18+SUM(Cashflow!H6:H7)</f>
        <v>165000</v>
      </c>
      <c r="I18" s="79">
        <f>H18+SUM(Cashflow!I6:I7)</f>
        <v>165000</v>
      </c>
      <c r="J18" s="79">
        <f>I18+SUM(Cashflow!J6:J7)</f>
        <v>165000</v>
      </c>
      <c r="K18" s="79">
        <f>J18+SUM(Cashflow!K6:K7)</f>
        <v>165000</v>
      </c>
      <c r="L18" s="79">
        <f>K18+SUM(Cashflow!L6:L7)</f>
        <v>165000</v>
      </c>
      <c r="M18" s="79">
        <f>L18+SUM(Cashflow!M6:M7)</f>
        <v>165000</v>
      </c>
      <c r="N18" s="79"/>
      <c r="O18" s="79"/>
      <c r="P18" s="79">
        <f>M18+SUM(Cashflow!P6:P7)</f>
        <v>165000</v>
      </c>
      <c r="Q18" s="79">
        <f>P18+SUM(Cashflow!Q6:Q7)</f>
        <v>165000</v>
      </c>
      <c r="R18" s="79">
        <f>Q18+SUM(Cashflow!R6:R7)</f>
        <v>165000</v>
      </c>
      <c r="S18" s="79">
        <f>R18+SUM(Cashflow!S6:S7)</f>
        <v>165000</v>
      </c>
      <c r="T18" s="79">
        <f>S18+SUM(Cashflow!T6:T7)</f>
        <v>165000</v>
      </c>
      <c r="U18" s="79">
        <f>T18+SUM(Cashflow!U6:U7)</f>
        <v>165000</v>
      </c>
      <c r="V18" s="79">
        <f>U18+SUM(Cashflow!V6:V7)</f>
        <v>165000</v>
      </c>
      <c r="W18" s="79">
        <f>V18+SUM(Cashflow!W6:W7)</f>
        <v>165000</v>
      </c>
      <c r="X18" s="79">
        <f>W18+SUM(Cashflow!X6:X7)</f>
        <v>165000</v>
      </c>
      <c r="Y18" s="79">
        <f>X18+SUM(Cashflow!Y6:Y7)</f>
        <v>165000</v>
      </c>
      <c r="Z18" s="79">
        <f>Y18+SUM(Cashflow!Z6:Z7)</f>
        <v>165000</v>
      </c>
      <c r="AA18" s="79">
        <f>Z18+SUM(Cashflow!AA6:AA7)</f>
        <v>165000</v>
      </c>
      <c r="AB18" s="79"/>
      <c r="AC18" s="79"/>
      <c r="AD18" s="79">
        <f>'Bal Sht'!AA18+SUM(Cashflow!AD6:AD7)</f>
        <v>165000</v>
      </c>
      <c r="AE18" s="79">
        <f>AD18+SUM(Cashflow!AE6:AE7)</f>
        <v>165000</v>
      </c>
      <c r="AF18" s="79">
        <f>AE18+SUM(Cashflow!AF6:AF7)</f>
        <v>165000</v>
      </c>
      <c r="AG18" s="79">
        <f>AF18+SUM(Cashflow!AG6:AG7)</f>
        <v>165000</v>
      </c>
      <c r="AH18" s="79">
        <f>AG18+SUM(Cashflow!AH6:AH7)</f>
        <v>165000</v>
      </c>
      <c r="AI18" s="79">
        <f>AH18+SUM(Cashflow!AI6:AI7)</f>
        <v>165000</v>
      </c>
      <c r="AJ18" s="79">
        <f>AI18+SUM(Cashflow!AJ6:AJ7)</f>
        <v>165000</v>
      </c>
      <c r="AK18" s="79">
        <f>AJ18+SUM(Cashflow!AK6:AK7)</f>
        <v>165000</v>
      </c>
      <c r="AL18" s="79">
        <f>AK18+SUM(Cashflow!AL6:AL7)</f>
        <v>165000</v>
      </c>
      <c r="AM18" s="79">
        <f>AL18+SUM(Cashflow!AM6:AM7)</f>
        <v>165000</v>
      </c>
      <c r="AN18" s="79">
        <f>AM18+SUM(Cashflow!AN6:AN7)</f>
        <v>165000</v>
      </c>
      <c r="AO18" s="79">
        <f>AN18+SUM(Cashflow!AO6:AO7)</f>
        <v>165000</v>
      </c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</row>
    <row r="19">
      <c r="A19" s="24" t="s">
        <v>150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/>
      <c r="O19" s="79"/>
      <c r="P19" s="79">
        <f t="shared" ref="P19:AA19" si="4">$M20</f>
        <v>-148854.5639</v>
      </c>
      <c r="Q19" s="79">
        <f t="shared" si="4"/>
        <v>-148854.5639</v>
      </c>
      <c r="R19" s="79">
        <f t="shared" si="4"/>
        <v>-148854.5639</v>
      </c>
      <c r="S19" s="79">
        <f t="shared" si="4"/>
        <v>-148854.5639</v>
      </c>
      <c r="T19" s="79">
        <f t="shared" si="4"/>
        <v>-148854.5639</v>
      </c>
      <c r="U19" s="79">
        <f t="shared" si="4"/>
        <v>-148854.5639</v>
      </c>
      <c r="V19" s="79">
        <f t="shared" si="4"/>
        <v>-148854.5639</v>
      </c>
      <c r="W19" s="79">
        <f t="shared" si="4"/>
        <v>-148854.5639</v>
      </c>
      <c r="X19" s="79">
        <f t="shared" si="4"/>
        <v>-148854.5639</v>
      </c>
      <c r="Y19" s="79">
        <f t="shared" si="4"/>
        <v>-148854.5639</v>
      </c>
      <c r="Z19" s="79">
        <f t="shared" si="4"/>
        <v>-148854.5639</v>
      </c>
      <c r="AA19" s="79">
        <f t="shared" si="4"/>
        <v>-148854.5639</v>
      </c>
      <c r="AB19" s="79"/>
      <c r="AC19" s="79"/>
      <c r="AD19" s="79">
        <f t="shared" ref="AD19:AO19" si="5">$AA19+$AA20</f>
        <v>128949.82</v>
      </c>
      <c r="AE19" s="79">
        <f t="shared" si="5"/>
        <v>128949.82</v>
      </c>
      <c r="AF19" s="79">
        <f t="shared" si="5"/>
        <v>128949.82</v>
      </c>
      <c r="AG19" s="79">
        <f t="shared" si="5"/>
        <v>128949.82</v>
      </c>
      <c r="AH19" s="79">
        <f t="shared" si="5"/>
        <v>128949.82</v>
      </c>
      <c r="AI19" s="79">
        <f t="shared" si="5"/>
        <v>128949.82</v>
      </c>
      <c r="AJ19" s="79">
        <f t="shared" si="5"/>
        <v>128949.82</v>
      </c>
      <c r="AK19" s="79">
        <f t="shared" si="5"/>
        <v>128949.82</v>
      </c>
      <c r="AL19" s="79">
        <f t="shared" si="5"/>
        <v>128949.82</v>
      </c>
      <c r="AM19" s="79">
        <f t="shared" si="5"/>
        <v>128949.82</v>
      </c>
      <c r="AN19" s="79">
        <f t="shared" si="5"/>
        <v>128949.82</v>
      </c>
      <c r="AO19" s="79">
        <f t="shared" si="5"/>
        <v>128949.82</v>
      </c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</row>
    <row r="20">
      <c r="A20" s="24" t="s">
        <v>151</v>
      </c>
      <c r="B20" s="79">
        <f>'P&amp;L'!B39</f>
        <v>-20416.66667</v>
      </c>
      <c r="C20" s="79">
        <f>B20+'P&amp;L'!C39</f>
        <v>-33333.33333</v>
      </c>
      <c r="D20" s="79">
        <f>C20+'P&amp;L'!D39</f>
        <v>-46250</v>
      </c>
      <c r="E20" s="79">
        <f>D20+'P&amp;L'!E39</f>
        <v>-59166.66667</v>
      </c>
      <c r="F20" s="79">
        <f>E20+'P&amp;L'!F39</f>
        <v>-72083.33333</v>
      </c>
      <c r="G20" s="79">
        <f>F20+'P&amp;L'!G39</f>
        <v>-85000</v>
      </c>
      <c r="H20" s="79">
        <f>G20+'P&amp;L'!H39</f>
        <v>-97916.66667</v>
      </c>
      <c r="I20" s="79">
        <f>H20+'P&amp;L'!I39</f>
        <v>-110833.3333</v>
      </c>
      <c r="J20" s="79">
        <f>I20+'P&amp;L'!J39</f>
        <v>-123750</v>
      </c>
      <c r="K20" s="79">
        <f>J20+'P&amp;L'!K39</f>
        <v>-133180.8082</v>
      </c>
      <c r="L20" s="79">
        <f>K20+'P&amp;L'!L39</f>
        <v>-141637.7623</v>
      </c>
      <c r="M20" s="79">
        <f>L20+'P&amp;L'!M39</f>
        <v>-148854.5639</v>
      </c>
      <c r="N20" s="79"/>
      <c r="O20" s="79"/>
      <c r="P20" s="79">
        <f>'P&amp;L'!P39</f>
        <v>-5974.491463</v>
      </c>
      <c r="Q20" s="79">
        <f>P20+'P&amp;L'!Q39</f>
        <v>-7952.926526</v>
      </c>
      <c r="R20" s="79">
        <f>Q20+'P&amp;L'!R39</f>
        <v>-7412.049702</v>
      </c>
      <c r="S20" s="79">
        <f>R20+'P&amp;L'!S39</f>
        <v>-5706.233551</v>
      </c>
      <c r="T20" s="79">
        <f>S20+'P&amp;L'!T39</f>
        <v>952.3891654</v>
      </c>
      <c r="U20" s="79">
        <f>T20+'P&amp;L'!U39</f>
        <v>12511.8646</v>
      </c>
      <c r="V20" s="79">
        <f>U20+'P&amp;L'!V39</f>
        <v>29092.85564</v>
      </c>
      <c r="W20" s="79">
        <f>V20+'P&amp;L'!W39</f>
        <v>53990.52453</v>
      </c>
      <c r="X20" s="79">
        <f>W20+'P&amp;L'!X39</f>
        <v>87659.51326</v>
      </c>
      <c r="Y20" s="79">
        <f>X20+'P&amp;L'!Y39</f>
        <v>131675.247</v>
      </c>
      <c r="Z20" s="79">
        <f>Y20+'P&amp;L'!Z39</f>
        <v>187666.1807</v>
      </c>
      <c r="AA20" s="79">
        <f>Z20+'P&amp;L'!AA39</f>
        <v>277804.3839</v>
      </c>
      <c r="AB20" s="79"/>
      <c r="AC20" s="79"/>
      <c r="AD20" s="79">
        <f>'P&amp;L'!AD39</f>
        <v>79440.92041</v>
      </c>
      <c r="AE20" s="79">
        <f>AD20+'P&amp;L'!AE39</f>
        <v>176973.2739</v>
      </c>
      <c r="AF20" s="79">
        <f>AE20+'P&amp;L'!AF39</f>
        <v>291295.7227</v>
      </c>
      <c r="AG20" s="79">
        <f>AF20+'P&amp;L'!AG39</f>
        <v>422607.8976</v>
      </c>
      <c r="AH20" s="79">
        <f>AG20+'P&amp;L'!AH39</f>
        <v>568586.3409</v>
      </c>
      <c r="AI20" s="79">
        <f>AH20+'P&amp;L'!AI39</f>
        <v>732423.2778</v>
      </c>
      <c r="AJ20" s="79">
        <f>AI20+'P&amp;L'!AJ39</f>
        <v>910918.6972</v>
      </c>
      <c r="AK20" s="79">
        <f>AJ20+'P&amp;L'!AK39</f>
        <v>1102604.582</v>
      </c>
      <c r="AL20" s="79">
        <f>AK20+'P&amp;L'!AL39</f>
        <v>1303876.333</v>
      </c>
      <c r="AM20" s="79">
        <f>AL20+'P&amp;L'!AM39</f>
        <v>1517110.358</v>
      </c>
      <c r="AN20" s="79">
        <f>AM20+'P&amp;L'!AN39</f>
        <v>1738755.095</v>
      </c>
      <c r="AO20" s="79">
        <f>AN20+'P&amp;L'!AO39</f>
        <v>1572998.489</v>
      </c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</row>
    <row r="21" ht="15.75" customHeight="1"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</row>
    <row r="22" ht="15.75" customHeight="1">
      <c r="A22" s="30" t="s">
        <v>152</v>
      </c>
      <c r="B22" s="80">
        <f t="shared" ref="B22:M22" si="6">SUM(B17:B20)</f>
        <v>144583.3333</v>
      </c>
      <c r="C22" s="80">
        <f t="shared" si="6"/>
        <v>131666.6667</v>
      </c>
      <c r="D22" s="80">
        <f t="shared" si="6"/>
        <v>118750</v>
      </c>
      <c r="E22" s="80">
        <f t="shared" si="6"/>
        <v>105833.3333</v>
      </c>
      <c r="F22" s="80">
        <f t="shared" si="6"/>
        <v>92916.66667</v>
      </c>
      <c r="G22" s="80">
        <f t="shared" si="6"/>
        <v>80000</v>
      </c>
      <c r="H22" s="80">
        <f t="shared" si="6"/>
        <v>67083.33333</v>
      </c>
      <c r="I22" s="80">
        <f t="shared" si="6"/>
        <v>54166.66667</v>
      </c>
      <c r="J22" s="80">
        <f t="shared" si="6"/>
        <v>41250</v>
      </c>
      <c r="K22" s="80">
        <f t="shared" si="6"/>
        <v>31819.19181</v>
      </c>
      <c r="L22" s="80">
        <f t="shared" si="6"/>
        <v>23362.2377</v>
      </c>
      <c r="M22" s="80">
        <f t="shared" si="6"/>
        <v>16145.43608</v>
      </c>
      <c r="N22" s="82"/>
      <c r="O22" s="82"/>
      <c r="P22" s="80">
        <f t="shared" ref="P22:AA22" si="7">SUM(P17:P20)</f>
        <v>10170.94462</v>
      </c>
      <c r="Q22" s="80">
        <f t="shared" si="7"/>
        <v>8192.509554</v>
      </c>
      <c r="R22" s="80">
        <f t="shared" si="7"/>
        <v>8733.386378</v>
      </c>
      <c r="S22" s="80">
        <f t="shared" si="7"/>
        <v>10439.20253</v>
      </c>
      <c r="T22" s="80">
        <f t="shared" si="7"/>
        <v>17097.82525</v>
      </c>
      <c r="U22" s="80">
        <f t="shared" si="7"/>
        <v>28657.30068</v>
      </c>
      <c r="V22" s="80">
        <f t="shared" si="7"/>
        <v>45238.29172</v>
      </c>
      <c r="W22" s="80">
        <f t="shared" si="7"/>
        <v>70135.96061</v>
      </c>
      <c r="X22" s="80">
        <f t="shared" si="7"/>
        <v>103804.9493</v>
      </c>
      <c r="Y22" s="80">
        <f t="shared" si="7"/>
        <v>147820.6831</v>
      </c>
      <c r="Z22" s="80">
        <f t="shared" si="7"/>
        <v>203811.6168</v>
      </c>
      <c r="AA22" s="80">
        <f t="shared" si="7"/>
        <v>293949.82</v>
      </c>
      <c r="AB22" s="82"/>
      <c r="AC22" s="82"/>
      <c r="AD22" s="80">
        <f t="shared" ref="AD22:AO22" si="8">SUM(AD17:AD20)</f>
        <v>373390.7404</v>
      </c>
      <c r="AE22" s="80">
        <f t="shared" si="8"/>
        <v>470923.0939</v>
      </c>
      <c r="AF22" s="80">
        <f t="shared" si="8"/>
        <v>585245.5427</v>
      </c>
      <c r="AG22" s="80">
        <f t="shared" si="8"/>
        <v>716557.7176</v>
      </c>
      <c r="AH22" s="80">
        <f t="shared" si="8"/>
        <v>862536.1609</v>
      </c>
      <c r="AI22" s="80">
        <f t="shared" si="8"/>
        <v>1026373.098</v>
      </c>
      <c r="AJ22" s="80">
        <f t="shared" si="8"/>
        <v>1204868.517</v>
      </c>
      <c r="AK22" s="80">
        <f t="shared" si="8"/>
        <v>1396554.402</v>
      </c>
      <c r="AL22" s="80">
        <f t="shared" si="8"/>
        <v>1597826.153</v>
      </c>
      <c r="AM22" s="80">
        <f t="shared" si="8"/>
        <v>1811060.178</v>
      </c>
      <c r="AN22" s="80">
        <f t="shared" si="8"/>
        <v>2032704.915</v>
      </c>
      <c r="AO22" s="80">
        <f t="shared" si="8"/>
        <v>1866948.31</v>
      </c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ht="15.75" customHeight="1"/>
    <row r="24" ht="15.75" customHeight="1">
      <c r="A24" s="95" t="s">
        <v>153</v>
      </c>
      <c r="B24" s="95">
        <f t="shared" ref="B24:M24" si="9">B22-B15</f>
        <v>0</v>
      </c>
      <c r="C24" s="95">
        <f t="shared" si="9"/>
        <v>0</v>
      </c>
      <c r="D24" s="95">
        <f t="shared" si="9"/>
        <v>0</v>
      </c>
      <c r="E24" s="95">
        <f t="shared" si="9"/>
        <v>0</v>
      </c>
      <c r="F24" s="95">
        <f t="shared" si="9"/>
        <v>0</v>
      </c>
      <c r="G24" s="95">
        <f t="shared" si="9"/>
        <v>0</v>
      </c>
      <c r="H24" s="95">
        <f t="shared" si="9"/>
        <v>0</v>
      </c>
      <c r="I24" s="95">
        <f t="shared" si="9"/>
        <v>0</v>
      </c>
      <c r="J24" s="95">
        <f t="shared" si="9"/>
        <v>0</v>
      </c>
      <c r="K24" s="95">
        <f t="shared" si="9"/>
        <v>0</v>
      </c>
      <c r="L24" s="95">
        <f t="shared" si="9"/>
        <v>0</v>
      </c>
      <c r="M24" s="95">
        <f t="shared" si="9"/>
        <v>0</v>
      </c>
      <c r="N24" s="95"/>
      <c r="O24" s="95"/>
      <c r="P24" s="95">
        <f t="shared" ref="P24:AA24" si="10">P22-P15</f>
        <v>0</v>
      </c>
      <c r="Q24" s="95">
        <f t="shared" si="10"/>
        <v>0</v>
      </c>
      <c r="R24" s="95">
        <f t="shared" si="10"/>
        <v>0</v>
      </c>
      <c r="S24" s="95">
        <f t="shared" si="10"/>
        <v>0</v>
      </c>
      <c r="T24" s="95">
        <f t="shared" si="10"/>
        <v>0</v>
      </c>
      <c r="U24" s="95">
        <f t="shared" si="10"/>
        <v>0</v>
      </c>
      <c r="V24" s="95">
        <f t="shared" si="10"/>
        <v>0</v>
      </c>
      <c r="W24" s="95">
        <f t="shared" si="10"/>
        <v>0</v>
      </c>
      <c r="X24" s="95">
        <f t="shared" si="10"/>
        <v>0</v>
      </c>
      <c r="Y24" s="95">
        <f t="shared" si="10"/>
        <v>0</v>
      </c>
      <c r="Z24" s="95">
        <f t="shared" si="10"/>
        <v>0</v>
      </c>
      <c r="AA24" s="95">
        <f t="shared" si="10"/>
        <v>0</v>
      </c>
      <c r="AB24" s="95"/>
      <c r="AC24" s="95"/>
      <c r="AD24" s="95">
        <f t="shared" ref="AD24:AO24" si="11">AD22-AD15</f>
        <v>0</v>
      </c>
      <c r="AE24" s="95">
        <f t="shared" si="11"/>
        <v>0</v>
      </c>
      <c r="AF24" s="95">
        <f t="shared" si="11"/>
        <v>0</v>
      </c>
      <c r="AG24" s="95">
        <f t="shared" si="11"/>
        <v>0</v>
      </c>
      <c r="AH24" s="95">
        <f t="shared" si="11"/>
        <v>0.0000000001164153218</v>
      </c>
      <c r="AI24" s="95">
        <f t="shared" si="11"/>
        <v>0.0000000001164153218</v>
      </c>
      <c r="AJ24" s="95">
        <f t="shared" si="11"/>
        <v>0.0000000002328306437</v>
      </c>
      <c r="AK24" s="95">
        <f t="shared" si="11"/>
        <v>0.0000000002328306437</v>
      </c>
      <c r="AL24" s="95">
        <f t="shared" si="11"/>
        <v>0</v>
      </c>
      <c r="AM24" s="95">
        <f t="shared" si="11"/>
        <v>0</v>
      </c>
      <c r="AN24" s="95">
        <f t="shared" si="11"/>
        <v>0</v>
      </c>
      <c r="AO24" s="95">
        <f t="shared" si="11"/>
        <v>0</v>
      </c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orientation="landscape"/>
  <colBreaks count="2" manualBreakCount="2">
    <brk id="43" man="1"/>
    <brk id="14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2017-05-10T09:29:42Z</dcterms:created>
  <dc:creator>TS</dc:creator>
</cp:coreProperties>
</file>